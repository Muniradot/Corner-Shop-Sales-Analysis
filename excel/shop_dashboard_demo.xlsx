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unira\Downloads\corner-shop-sales-analysis\excel\"/>
    </mc:Choice>
  </mc:AlternateContent>
  <xr:revisionPtr revIDLastSave="0" documentId="13_ncr:1_{742C816E-0767-449D-AE35-C39A972543D6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Dashboard" sheetId="1" r:id="rId1"/>
    <sheet name="Stock" sheetId="2" r:id="rId2"/>
    <sheet name="Sal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8" i="3" l="1"/>
  <c r="E168" i="3" s="1"/>
  <c r="D167" i="3"/>
  <c r="E167" i="3" s="1"/>
  <c r="D166" i="3"/>
  <c r="E166" i="3" s="1"/>
  <c r="D165" i="3"/>
  <c r="E165" i="3" s="1"/>
  <c r="D164" i="3"/>
  <c r="E164" i="3" s="1"/>
  <c r="D163" i="3"/>
  <c r="E163" i="3" s="1"/>
  <c r="D162" i="3"/>
  <c r="E162" i="3" s="1"/>
  <c r="D161" i="3"/>
  <c r="E161" i="3" s="1"/>
  <c r="D160" i="3"/>
  <c r="E160" i="3" s="1"/>
  <c r="D159" i="3"/>
  <c r="E159" i="3" s="1"/>
  <c r="D158" i="3"/>
  <c r="E158" i="3" s="1"/>
  <c r="D157" i="3"/>
  <c r="E157" i="3" s="1"/>
  <c r="D156" i="3"/>
  <c r="E156" i="3" s="1"/>
  <c r="D155" i="3"/>
  <c r="E155" i="3" s="1"/>
  <c r="D154" i="3"/>
  <c r="E154" i="3" s="1"/>
  <c r="D153" i="3"/>
  <c r="E153" i="3" s="1"/>
  <c r="D152" i="3"/>
  <c r="E152" i="3" s="1"/>
  <c r="D151" i="3"/>
  <c r="E151" i="3" s="1"/>
  <c r="D150" i="3"/>
  <c r="E150" i="3" s="1"/>
  <c r="D149" i="3"/>
  <c r="E149" i="3" s="1"/>
  <c r="D148" i="3"/>
  <c r="E148" i="3" s="1"/>
  <c r="D147" i="3"/>
  <c r="E147" i="3" s="1"/>
  <c r="D146" i="3"/>
  <c r="E146" i="3" s="1"/>
  <c r="D145" i="3"/>
  <c r="E145" i="3" s="1"/>
  <c r="D144" i="3"/>
  <c r="E144" i="3" s="1"/>
  <c r="D143" i="3"/>
  <c r="E143" i="3" s="1"/>
  <c r="D142" i="3"/>
  <c r="E142" i="3" s="1"/>
  <c r="D141" i="3"/>
  <c r="E141" i="3" s="1"/>
  <c r="D140" i="3"/>
  <c r="E140" i="3" s="1"/>
  <c r="D139" i="3"/>
  <c r="E139" i="3" s="1"/>
  <c r="D138" i="3"/>
  <c r="E138" i="3" s="1"/>
  <c r="D137" i="3"/>
  <c r="E137" i="3" s="1"/>
  <c r="D136" i="3"/>
  <c r="E136" i="3" s="1"/>
  <c r="D135" i="3"/>
  <c r="E135" i="3" s="1"/>
  <c r="D134" i="3"/>
  <c r="E134" i="3" s="1"/>
  <c r="D133" i="3"/>
  <c r="E133" i="3" s="1"/>
  <c r="D132" i="3"/>
  <c r="E132" i="3" s="1"/>
  <c r="D131" i="3"/>
  <c r="E131" i="3" s="1"/>
  <c r="D130" i="3"/>
  <c r="E130" i="3" s="1"/>
  <c r="D129" i="3"/>
  <c r="E129" i="3" s="1"/>
  <c r="D128" i="3"/>
  <c r="E128" i="3" s="1"/>
  <c r="D127" i="3"/>
  <c r="E127" i="3" s="1"/>
  <c r="D126" i="3"/>
  <c r="E126" i="3" s="1"/>
  <c r="D125" i="3"/>
  <c r="E125" i="3" s="1"/>
  <c r="D124" i="3"/>
  <c r="E124" i="3" s="1"/>
  <c r="D123" i="3"/>
  <c r="E123" i="3" s="1"/>
  <c r="D122" i="3"/>
  <c r="E122" i="3" s="1"/>
  <c r="D121" i="3"/>
  <c r="E121" i="3" s="1"/>
  <c r="D120" i="3"/>
  <c r="E120" i="3" s="1"/>
  <c r="D119" i="3"/>
  <c r="E119" i="3" s="1"/>
  <c r="D118" i="3"/>
  <c r="E118" i="3" s="1"/>
  <c r="D117" i="3"/>
  <c r="E117" i="3" s="1"/>
  <c r="D116" i="3"/>
  <c r="E116" i="3" s="1"/>
  <c r="D115" i="3"/>
  <c r="E115" i="3" s="1"/>
  <c r="D114" i="3"/>
  <c r="E114" i="3" s="1"/>
  <c r="D113" i="3"/>
  <c r="E113" i="3" s="1"/>
  <c r="D112" i="3"/>
  <c r="E112" i="3" s="1"/>
  <c r="D111" i="3"/>
  <c r="E111" i="3" s="1"/>
  <c r="D110" i="3"/>
  <c r="E110" i="3" s="1"/>
  <c r="D109" i="3"/>
  <c r="E109" i="3" s="1"/>
  <c r="D108" i="3"/>
  <c r="E108" i="3" s="1"/>
  <c r="D107" i="3"/>
  <c r="E107" i="3" s="1"/>
  <c r="D106" i="3"/>
  <c r="E106" i="3" s="1"/>
  <c r="D105" i="3"/>
  <c r="E105" i="3" s="1"/>
  <c r="D104" i="3"/>
  <c r="E104" i="3" s="1"/>
  <c r="D103" i="3"/>
  <c r="E103" i="3" s="1"/>
  <c r="D102" i="3"/>
  <c r="E102" i="3" s="1"/>
  <c r="D101" i="3"/>
  <c r="E101" i="3" s="1"/>
  <c r="D100" i="3"/>
  <c r="E100" i="3" s="1"/>
  <c r="D99" i="3"/>
  <c r="E99" i="3" s="1"/>
  <c r="D98" i="3"/>
  <c r="E98" i="3" s="1"/>
  <c r="D97" i="3"/>
  <c r="E97" i="3" s="1"/>
  <c r="D96" i="3"/>
  <c r="E96" i="3" s="1"/>
  <c r="D95" i="3"/>
  <c r="E95" i="3" s="1"/>
  <c r="D94" i="3"/>
  <c r="E94" i="3" s="1"/>
  <c r="D93" i="3"/>
  <c r="E93" i="3" s="1"/>
  <c r="D92" i="3"/>
  <c r="E92" i="3" s="1"/>
  <c r="D91" i="3"/>
  <c r="E91" i="3" s="1"/>
  <c r="D90" i="3"/>
  <c r="E90" i="3" s="1"/>
  <c r="D89" i="3"/>
  <c r="E89" i="3" s="1"/>
  <c r="D88" i="3"/>
  <c r="E88" i="3" s="1"/>
  <c r="D87" i="3"/>
  <c r="E87" i="3" s="1"/>
  <c r="D86" i="3"/>
  <c r="E86" i="3" s="1"/>
  <c r="D85" i="3"/>
  <c r="E85" i="3" s="1"/>
  <c r="D84" i="3"/>
  <c r="E84" i="3" s="1"/>
  <c r="D83" i="3"/>
  <c r="E83" i="3" s="1"/>
  <c r="D82" i="3"/>
  <c r="E82" i="3" s="1"/>
  <c r="D81" i="3"/>
  <c r="E81" i="3" s="1"/>
  <c r="D80" i="3"/>
  <c r="E80" i="3" s="1"/>
  <c r="D79" i="3"/>
  <c r="E79" i="3" s="1"/>
  <c r="D78" i="3"/>
  <c r="E78" i="3" s="1"/>
  <c r="D77" i="3"/>
  <c r="E77" i="3" s="1"/>
  <c r="D76" i="3"/>
  <c r="E76" i="3" s="1"/>
  <c r="D75" i="3"/>
  <c r="E75" i="3" s="1"/>
  <c r="D74" i="3"/>
  <c r="E74" i="3" s="1"/>
  <c r="D73" i="3"/>
  <c r="E73" i="3" s="1"/>
  <c r="D72" i="3"/>
  <c r="E72" i="3" s="1"/>
  <c r="D71" i="3"/>
  <c r="E71" i="3" s="1"/>
  <c r="D70" i="3"/>
  <c r="E70" i="3" s="1"/>
  <c r="D69" i="3"/>
  <c r="E69" i="3" s="1"/>
  <c r="D68" i="3"/>
  <c r="E68" i="3" s="1"/>
  <c r="D67" i="3"/>
  <c r="E67" i="3" s="1"/>
  <c r="D66" i="3"/>
  <c r="E66" i="3" s="1"/>
  <c r="D65" i="3"/>
  <c r="E65" i="3" s="1"/>
  <c r="D64" i="3"/>
  <c r="E64" i="3" s="1"/>
  <c r="D63" i="3"/>
  <c r="E63" i="3" s="1"/>
  <c r="D62" i="3"/>
  <c r="E62" i="3" s="1"/>
  <c r="D61" i="3"/>
  <c r="E61" i="3" s="1"/>
  <c r="D60" i="3"/>
  <c r="E60" i="3" s="1"/>
  <c r="D59" i="3"/>
  <c r="E59" i="3" s="1"/>
  <c r="D58" i="3"/>
  <c r="E58" i="3" s="1"/>
  <c r="D57" i="3"/>
  <c r="E57" i="3" s="1"/>
  <c r="D56" i="3"/>
  <c r="E56" i="3" s="1"/>
  <c r="D55" i="3"/>
  <c r="E55" i="3" s="1"/>
  <c r="D54" i="3"/>
  <c r="E54" i="3" s="1"/>
  <c r="D53" i="3"/>
  <c r="E53" i="3" s="1"/>
  <c r="D52" i="3"/>
  <c r="E52" i="3" s="1"/>
  <c r="D51" i="3"/>
  <c r="E51" i="3" s="1"/>
  <c r="D50" i="3"/>
  <c r="E50" i="3" s="1"/>
  <c r="D49" i="3"/>
  <c r="E49" i="3" s="1"/>
  <c r="D48" i="3"/>
  <c r="E48" i="3" s="1"/>
  <c r="D47" i="3"/>
  <c r="E47" i="3" s="1"/>
  <c r="D46" i="3"/>
  <c r="E46" i="3" s="1"/>
  <c r="D45" i="3"/>
  <c r="E45" i="3" s="1"/>
  <c r="D44" i="3"/>
  <c r="E44" i="3" s="1"/>
  <c r="D43" i="3"/>
  <c r="E43" i="3" s="1"/>
  <c r="D42" i="3"/>
  <c r="E42" i="3" s="1"/>
  <c r="D41" i="3"/>
  <c r="E41" i="3" s="1"/>
  <c r="D40" i="3"/>
  <c r="E40" i="3" s="1"/>
  <c r="D39" i="3"/>
  <c r="E39" i="3" s="1"/>
  <c r="D38" i="3"/>
  <c r="E38" i="3" s="1"/>
  <c r="D37" i="3"/>
  <c r="E37" i="3" s="1"/>
  <c r="D36" i="3"/>
  <c r="E36" i="3" s="1"/>
  <c r="D35" i="3"/>
  <c r="E35" i="3" s="1"/>
  <c r="D34" i="3"/>
  <c r="E34" i="3" s="1"/>
  <c r="D33" i="3"/>
  <c r="E33" i="3" s="1"/>
  <c r="D32" i="3"/>
  <c r="E32" i="3" s="1"/>
  <c r="D31" i="3"/>
  <c r="E31" i="3" s="1"/>
  <c r="D30" i="3"/>
  <c r="E30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D22" i="3"/>
  <c r="E22" i="3" s="1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E9" i="3" s="1"/>
  <c r="D8" i="3"/>
  <c r="E8" i="3" s="1"/>
  <c r="D7" i="3"/>
  <c r="E7" i="3" s="1"/>
  <c r="D6" i="3"/>
  <c r="E6" i="3" s="1"/>
  <c r="D5" i="3"/>
  <c r="E5" i="3" s="1"/>
  <c r="D4" i="3"/>
  <c r="E4" i="3" s="1"/>
  <c r="D3" i="3"/>
  <c r="E3" i="3" s="1"/>
  <c r="D2" i="3"/>
  <c r="E2" i="3" s="1"/>
  <c r="F13" i="2"/>
  <c r="K13" i="2" s="1"/>
  <c r="J12" i="2"/>
  <c r="L12" i="2" s="1"/>
  <c r="F12" i="2"/>
  <c r="G12" i="2" s="1"/>
  <c r="I12" i="2" s="1"/>
  <c r="M12" i="2" s="1"/>
  <c r="J11" i="2"/>
  <c r="F11" i="2"/>
  <c r="K11" i="2" s="1"/>
  <c r="L10" i="2"/>
  <c r="J10" i="2"/>
  <c r="I10" i="2"/>
  <c r="M10" i="2" s="1"/>
  <c r="G10" i="2"/>
  <c r="F10" i="2"/>
  <c r="K10" i="2" s="1"/>
  <c r="G9" i="2"/>
  <c r="I9" i="2" s="1"/>
  <c r="F9" i="2"/>
  <c r="K9" i="2" s="1"/>
  <c r="F8" i="2"/>
  <c r="G8" i="2" s="1"/>
  <c r="I8" i="2" s="1"/>
  <c r="M8" i="2" s="1"/>
  <c r="J7" i="2"/>
  <c r="L7" i="2" s="1"/>
  <c r="F7" i="2"/>
  <c r="K7" i="2" s="1"/>
  <c r="F6" i="2"/>
  <c r="J6" i="2" s="1"/>
  <c r="G5" i="2"/>
  <c r="I5" i="2" s="1"/>
  <c r="F5" i="2"/>
  <c r="K5" i="2" s="1"/>
  <c r="F4" i="2"/>
  <c r="G4" i="2" s="1"/>
  <c r="I4" i="2" s="1"/>
  <c r="J3" i="2"/>
  <c r="L3" i="2" s="1"/>
  <c r="F3" i="2"/>
  <c r="K3" i="2" s="1"/>
  <c r="F2" i="2"/>
  <c r="J2" i="2" s="1"/>
  <c r="C21" i="1"/>
  <c r="C20" i="1"/>
  <c r="C19" i="1"/>
  <c r="L6" i="2" l="1"/>
  <c r="C28" i="1"/>
  <c r="C30" i="1"/>
  <c r="C26" i="1"/>
  <c r="L2" i="2"/>
  <c r="K2" i="2"/>
  <c r="G3" i="2"/>
  <c r="I3" i="2" s="1"/>
  <c r="M3" i="2" s="1"/>
  <c r="J5" i="2"/>
  <c r="L5" i="2" s="1"/>
  <c r="K6" i="2"/>
  <c r="G7" i="2"/>
  <c r="I7" i="2" s="1"/>
  <c r="M7" i="2" s="1"/>
  <c r="J9" i="2"/>
  <c r="L9" i="2" s="1"/>
  <c r="G11" i="2"/>
  <c r="I11" i="2" s="1"/>
  <c r="M11" i="2" s="1"/>
  <c r="L11" i="2"/>
  <c r="G2" i="2"/>
  <c r="I2" i="2" s="1"/>
  <c r="M9" i="2" s="1"/>
  <c r="J4" i="2"/>
  <c r="G6" i="2"/>
  <c r="I6" i="2" s="1"/>
  <c r="M6" i="2" s="1"/>
  <c r="J8" i="2"/>
  <c r="K8" i="2"/>
  <c r="K12" i="2"/>
  <c r="G13" i="2"/>
  <c r="I13" i="2" s="1"/>
  <c r="M13" i="2" s="1"/>
  <c r="K4" i="2"/>
  <c r="J13" i="2"/>
  <c r="L13" i="2" s="1"/>
  <c r="C6" i="1" l="1"/>
  <c r="D6" i="1" s="1"/>
  <c r="B6" i="1"/>
  <c r="L4" i="2"/>
  <c r="C27" i="1"/>
  <c r="E6" i="1"/>
  <c r="M2" i="2"/>
  <c r="L8" i="2"/>
  <c r="C29" i="1"/>
  <c r="D14" i="1"/>
  <c r="B12" i="1"/>
  <c r="C11" i="1"/>
  <c r="D10" i="1"/>
  <c r="C14" i="1"/>
  <c r="D13" i="1"/>
  <c r="B11" i="1"/>
  <c r="C10" i="1"/>
  <c r="B14" i="1"/>
  <c r="C13" i="1"/>
  <c r="D12" i="1"/>
  <c r="B10" i="1"/>
  <c r="B13" i="1"/>
  <c r="C12" i="1"/>
  <c r="D11" i="1"/>
  <c r="M4" i="2"/>
  <c r="M5" i="2"/>
  <c r="I15" i="1" l="1"/>
  <c r="H13" i="1"/>
  <c r="I12" i="1"/>
  <c r="H15" i="1"/>
  <c r="H12" i="1"/>
  <c r="I11" i="1"/>
  <c r="I14" i="1"/>
  <c r="H11" i="1"/>
  <c r="I10" i="1"/>
  <c r="H14" i="1"/>
  <c r="I13" i="1"/>
  <c r="H10" i="1"/>
</calcChain>
</file>

<file path=xl/sharedStrings.xml><?xml version="1.0" encoding="utf-8"?>
<sst xmlns="http://schemas.openxmlformats.org/spreadsheetml/2006/main" count="235" uniqueCount="46">
  <si>
    <t>Corner Shop: Sales &amp; Stock Dashboard</t>
  </si>
  <si>
    <t>Total revenue</t>
  </si>
  <si>
    <t>Total profit</t>
  </si>
  <si>
    <t>Profit margin</t>
  </si>
  <si>
    <t>Items to reorder</t>
  </si>
  <si>
    <t>Top 5 products by revenue</t>
  </si>
  <si>
    <t>Needs reordering</t>
  </si>
  <si>
    <t>Product</t>
  </si>
  <si>
    <t>Revenue (£)</t>
  </si>
  <si>
    <t>Units sold</t>
  </si>
  <si>
    <t>Stock left</t>
  </si>
  <si>
    <t>Revenue by month</t>
  </si>
  <si>
    <t>Month start</t>
  </si>
  <si>
    <t>Revenue by category</t>
  </si>
  <si>
    <t>Category</t>
  </si>
  <si>
    <t>Dairy</t>
  </si>
  <si>
    <t>Bakery</t>
  </si>
  <si>
    <t>Drinks</t>
  </si>
  <si>
    <t>Grocery</t>
  </si>
  <si>
    <t>Snacks</t>
  </si>
  <si>
    <t>Cost (£)</t>
  </si>
  <si>
    <t>Price (£)</t>
  </si>
  <si>
    <t>Opening stock</t>
  </si>
  <si>
    <t>Reorder at</t>
  </si>
  <si>
    <t>Status</t>
  </si>
  <si>
    <t>Profit (£)</t>
  </si>
  <si>
    <t>Rank helper</t>
  </si>
  <si>
    <t>Reorder #</t>
  </si>
  <si>
    <t>Note</t>
  </si>
  <si>
    <t>Whole Milk 2L</t>
  </si>
  <si>
    <t>Cheddar 400g</t>
  </si>
  <si>
    <t>White Bread</t>
  </si>
  <si>
    <t>Croissant 4-pack</t>
  </si>
  <si>
    <t>Orange Juice 1L</t>
  </si>
  <si>
    <t>Sparkling Water 6x</t>
  </si>
  <si>
    <t>Tea Bags 80s</t>
  </si>
  <si>
    <t>Pasta 500g</t>
  </si>
  <si>
    <t>Rice 1kg</t>
  </si>
  <si>
    <t>Crisps Multipack</t>
  </si>
  <si>
    <t>Chocolate Bar</t>
  </si>
  <si>
    <t>Biscuits 300g</t>
  </si>
  <si>
    <t>Date</t>
  </si>
  <si>
    <t>Qty</t>
  </si>
  <si>
    <t>Unit price (£)</t>
  </si>
  <si>
    <t>How to use</t>
  </si>
  <si>
    <t xml:space="preserve">Jul-Sep 2026  |  DEMO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</si>
</sst>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"/>
    <numFmt numFmtId="165" formatCode="0.0%"/>
    <numFmt numFmtId="166" formatCode="mmm\ yyyy"/>
    <numFmt numFmtId="167" formatCode="\£#,##0.00"/>
  </numFmts>
  <fonts count="13" x14ac:knownFonts="1">
    <font>
      <sz val="11"/>
      <color theme="1"/>
      <name val="Calibri"/>
      <family val="2"/>
      <charset val="1"/>
    </font>
    <font>
      <b/>
      <sz val="18"/>
      <color rgb="FF1F3A5F"/>
      <name val="Arial"/>
      <charset val="1"/>
    </font>
    <font>
      <i/>
      <sz val="11"/>
      <color rgb="FF666666"/>
      <name val="Arial"/>
      <charset val="1"/>
    </font>
    <font>
      <b/>
      <sz val="10"/>
      <color rgb="FFFFFFFF"/>
      <name val="Arial"/>
      <charset val="1"/>
    </font>
    <font>
      <b/>
      <sz val="16"/>
      <color rgb="FF1F3A5F"/>
      <name val="Arial"/>
      <charset val="1"/>
    </font>
    <font>
      <b/>
      <sz val="12"/>
      <color rgb="FF1F3A5F"/>
      <name val="Arial"/>
      <charset val="1"/>
    </font>
    <font>
      <b/>
      <sz val="12"/>
      <color rgb="FF9C000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i/>
      <sz val="11"/>
      <name val="Arial"/>
      <charset val="1"/>
    </font>
    <font>
      <sz val="11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AF0F7"/>
        <bgColor rgb="FFFFFFFF"/>
      </patternFill>
    </fill>
    <fill>
      <patternFill patternType="solid">
        <fgColor rgb="FF9C0006"/>
        <bgColor rgb="FF8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" fontId="4" fillId="3" borderId="0" xfId="0" applyNumberFormat="1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7" fillId="4" borderId="0" xfId="0" applyFont="1" applyFill="1"/>
    <xf numFmtId="0" fontId="8" fillId="0" borderId="0" xfId="0" applyFont="1"/>
    <xf numFmtId="164" fontId="8" fillId="0" borderId="0" xfId="0" applyNumberFormat="1" applyFont="1"/>
    <xf numFmtId="166" fontId="9" fillId="0" borderId="0" xfId="0" applyNumberFormat="1" applyFont="1"/>
    <xf numFmtId="0" fontId="9" fillId="0" borderId="0" xfId="0" applyFont="1"/>
    <xf numFmtId="0" fontId="7" fillId="2" borderId="0" xfId="0" applyFont="1" applyFill="1" applyAlignment="1">
      <alignment horizontal="center" vertical="center" wrapText="1"/>
    </xf>
    <xf numFmtId="0" fontId="10" fillId="0" borderId="0" xfId="0" applyFont="1"/>
    <xf numFmtId="167" fontId="9" fillId="0" borderId="0" xfId="0" applyNumberFormat="1" applyFont="1"/>
    <xf numFmtId="0" fontId="8" fillId="0" borderId="0" xfId="0" applyFont="1" applyAlignment="1">
      <alignment horizontal="center"/>
    </xf>
    <xf numFmtId="0" fontId="11" fillId="0" borderId="0" xfId="0" applyFont="1"/>
    <xf numFmtId="15" fontId="9" fillId="0" borderId="0" xfId="0" applyNumberFormat="1" applyFont="1"/>
    <xf numFmtId="167" fontId="12" fillId="0" borderId="0" xfId="0" applyNumberFormat="1" applyFont="1"/>
  </cellXfs>
  <cellStyles count="1">
    <cellStyle name="Normal" xfId="0" builtinId="0"/>
  </cellStyles>
  <dxfs count="1">
    <dxf>
      <font>
        <b/>
        <color rgb="FF9C0006"/>
        <name val="Arial"/>
        <charset val="1"/>
      </font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AF0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4F81B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category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Dashboard!$C$25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Dashboard!$B$26:$B$30</c:f>
              <c:strCache>
                <c:ptCount val="5"/>
                <c:pt idx="0">
                  <c:v>Dairy</c:v>
                </c:pt>
                <c:pt idx="1">
                  <c:v>Bakery</c:v>
                </c:pt>
                <c:pt idx="2">
                  <c:v>Drinks</c:v>
                </c:pt>
                <c:pt idx="3">
                  <c:v>Grocery</c:v>
                </c:pt>
                <c:pt idx="4">
                  <c:v>Snacks</c:v>
                </c:pt>
              </c:strCache>
            </c:strRef>
          </c:cat>
          <c:val>
            <c:numRef>
              <c:f>Dashboard!$C$26:$C$30</c:f>
              <c:numCache>
                <c:formatCode>\£#,##0</c:formatCode>
                <c:ptCount val="5"/>
                <c:pt idx="0">
                  <c:v>222.74999999999997</c:v>
                </c:pt>
                <c:pt idx="1">
                  <c:v>124.8</c:v>
                </c:pt>
                <c:pt idx="2">
                  <c:v>192.2</c:v>
                </c:pt>
                <c:pt idx="3">
                  <c:v>193</c:v>
                </c:pt>
                <c:pt idx="4">
                  <c:v>286.28999999999996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1-434B-B99D-D3ECA75E3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92100"/>
        <c:axId val="2292753"/>
      </c:barChart>
      <c:catAx>
        <c:axId val="57692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92753"/>
        <c:crosses val="autoZero"/>
        <c:auto val="1"/>
        <c:lblAlgn val="ctr"/>
        <c:lblOffset val="100"/>
        <c:noMultiLvlLbl val="0"/>
      </c:catAx>
      <c:valAx>
        <c:axId val="2292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92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Revenue by month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Dashboard!$C$18</c:f>
              <c:strCache>
                <c:ptCount val="1"/>
                <c:pt idx="0">
                  <c:v>Revenue (£)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Dashboard!$B$19:$B$21</c:f>
              <c:numCache>
                <c:formatCode>mmm\ yyyy</c:formatCode>
                <c:ptCount val="3"/>
                <c:pt idx="0">
                  <c:v>46204</c:v>
                </c:pt>
                <c:pt idx="1">
                  <c:v>46235</c:v>
                </c:pt>
                <c:pt idx="2">
                  <c:v>46266</c:v>
                </c:pt>
              </c:numCache>
            </c:numRef>
          </c:cat>
          <c:val>
            <c:numRef>
              <c:f>Dashboard!$C$19:$C$21</c:f>
              <c:numCache>
                <c:formatCode>\£#,##0</c:formatCode>
                <c:ptCount val="3"/>
                <c:pt idx="0">
                  <c:v>299.58</c:v>
                </c:pt>
                <c:pt idx="1">
                  <c:v>361.57999999999993</c:v>
                </c:pt>
                <c:pt idx="2">
                  <c:v>357.87999999999994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5FB-47C1-956B-272E4142F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478804"/>
        <c:axId val="99299536"/>
      </c:lineChart>
      <c:dateAx>
        <c:axId val="25478804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99536"/>
        <c:crosses val="autoZero"/>
        <c:auto val="1"/>
        <c:lblOffset val="100"/>
        <c:baseTimeUnit val="months"/>
      </c:dateAx>
      <c:valAx>
        <c:axId val="99299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4788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15</xdr:row>
      <xdr:rowOff>101160</xdr:rowOff>
    </xdr:from>
    <xdr:to>
      <xdr:col>11</xdr:col>
      <xdr:colOff>559080</xdr:colOff>
      <xdr:row>28</xdr:row>
      <xdr:rowOff>144360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100800</xdr:rowOff>
    </xdr:from>
    <xdr:to>
      <xdr:col>4</xdr:col>
      <xdr:colOff>90360</xdr:colOff>
      <xdr:row>44</xdr:row>
      <xdr:rowOff>144000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30"/>
  <sheetViews>
    <sheetView showGridLines="0" topLeftCell="A69" zoomScaleNormal="100" workbookViewId="0">
      <selection activeCell="B3" sqref="B3"/>
    </sheetView>
  </sheetViews>
  <sheetFormatPr defaultColWidth="8.7109375" defaultRowHeight="15" x14ac:dyDescent="0.25"/>
  <cols>
    <col min="1" max="1" width="3" customWidth="1"/>
    <col min="2" max="5" width="20" customWidth="1"/>
    <col min="6" max="7" width="3" customWidth="1"/>
    <col min="8" max="8" width="24" customWidth="1"/>
    <col min="9" max="9" width="12" customWidth="1"/>
  </cols>
  <sheetData>
    <row r="2" spans="2:9" ht="23.25" x14ac:dyDescent="0.35">
      <c r="B2" s="1" t="s">
        <v>0</v>
      </c>
    </row>
    <row r="3" spans="2:9" x14ac:dyDescent="0.25">
      <c r="B3" s="2" t="s">
        <v>45</v>
      </c>
    </row>
    <row r="5" spans="2:9" x14ac:dyDescent="0.25">
      <c r="B5" s="3" t="s">
        <v>1</v>
      </c>
      <c r="C5" s="3" t="s">
        <v>2</v>
      </c>
      <c r="D5" s="3" t="s">
        <v>3</v>
      </c>
      <c r="E5" s="3" t="s">
        <v>4</v>
      </c>
    </row>
    <row r="6" spans="2:9" ht="36" customHeight="1" x14ac:dyDescent="0.25">
      <c r="B6" s="4">
        <f>SUM(Stock!J2:J13)</f>
        <v>1019.04</v>
      </c>
      <c r="C6" s="4">
        <f>SUM(Stock!K2:K13)</f>
        <v>426.78999999999996</v>
      </c>
      <c r="D6" s="5">
        <f>IFERROR(C6/B6,0)</f>
        <v>0.4188157481551264</v>
      </c>
      <c r="E6" s="6">
        <f>COUNTIF(Stock!I2:I13,"REORDER")</f>
        <v>4</v>
      </c>
    </row>
    <row r="8" spans="2:9" ht="15.75" x14ac:dyDescent="0.25">
      <c r="B8" s="7" t="s">
        <v>5</v>
      </c>
      <c r="H8" s="8" t="s">
        <v>6</v>
      </c>
    </row>
    <row r="9" spans="2:9" x14ac:dyDescent="0.25">
      <c r="B9" s="9" t="s">
        <v>7</v>
      </c>
      <c r="C9" s="9" t="s">
        <v>8</v>
      </c>
      <c r="D9" s="9" t="s">
        <v>9</v>
      </c>
      <c r="H9" s="10" t="s">
        <v>7</v>
      </c>
      <c r="I9" s="10" t="s">
        <v>10</v>
      </c>
    </row>
    <row r="10" spans="2:9" x14ac:dyDescent="0.25">
      <c r="B10" s="11" t="str">
        <f>INDEX(Stock!$A$2:$A$13,MATCH(LARGE(Stock!$L$2:$L$13,1),Stock!$L$2:$L$13,0))</f>
        <v>Cheddar 400g</v>
      </c>
      <c r="C10" s="12">
        <f>INDEX(Stock!$J$2:$J$13,MATCH(LARGE(Stock!$L$2:$L$13,1),Stock!$L$2:$L$13,0))</f>
        <v>135.29999999999998</v>
      </c>
      <c r="D10" s="11">
        <f>INDEX(Stock!$F$2:$F$13,MATCH(LARGE(Stock!$L$2:$L$13,1),Stock!$L$2:$L$13,0))</f>
        <v>41</v>
      </c>
      <c r="H10" s="11" t="str">
        <f>IFERROR(INDEX(Stock!$A$2:$A$13,MATCH(1,Stock!$M$2:$M$13,0)),"")</f>
        <v>Cheddar 400g</v>
      </c>
      <c r="I10" s="11">
        <f>IFERROR(INDEX(Stock!$G$2:$G$13,MATCH(1,Stock!$M$2:$M$13,0)),"")</f>
        <v>5</v>
      </c>
    </row>
    <row r="11" spans="2:9" x14ac:dyDescent="0.25">
      <c r="B11" s="11" t="str">
        <f>INDEX(Stock!$A$2:$A$13,MATCH(LARGE(Stock!$L$2:$L$13,2),Stock!$L$2:$L$13,0))</f>
        <v>Crisps Multipack</v>
      </c>
      <c r="C11" s="12">
        <f>INDEX(Stock!$J$2:$J$13,MATCH(LARGE(Stock!$L$2:$L$13,2),Stock!$L$2:$L$13,0))</f>
        <v>105.6</v>
      </c>
      <c r="D11" s="11">
        <f>INDEX(Stock!$F$2:$F$13,MATCH(LARGE(Stock!$L$2:$L$13,2),Stock!$L$2:$L$13,0))</f>
        <v>44</v>
      </c>
      <c r="H11" s="11" t="str">
        <f>IFERROR(INDEX(Stock!$A$2:$A$13,MATCH(2,Stock!$M$2:$M$13,0)),"")</f>
        <v>White Bread</v>
      </c>
      <c r="I11" s="11">
        <f>IFERROR(INDEX(Stock!$G$2:$G$13,MATCH(2,Stock!$M$2:$M$13,0)),"")</f>
        <v>3</v>
      </c>
    </row>
    <row r="12" spans="2:9" x14ac:dyDescent="0.25">
      <c r="B12" s="11" t="str">
        <f>INDEX(Stock!$A$2:$A$13,MATCH(LARGE(Stock!$L$2:$L$13,3),Stock!$L$2:$L$13,0))</f>
        <v>Biscuits 300g</v>
      </c>
      <c r="C12" s="12">
        <f>INDEX(Stock!$J$2:$J$13,MATCH(LARGE(Stock!$L$2:$L$13,3),Stock!$L$2:$L$13,0))</f>
        <v>100.5</v>
      </c>
      <c r="D12" s="11">
        <f>INDEX(Stock!$F$2:$F$13,MATCH(LARGE(Stock!$L$2:$L$13,3),Stock!$L$2:$L$13,0))</f>
        <v>67</v>
      </c>
      <c r="H12" s="11" t="str">
        <f>IFERROR(INDEX(Stock!$A$2:$A$13,MATCH(3,Stock!$M$2:$M$13,0)),"")</f>
        <v>Croissant 4-pack</v>
      </c>
      <c r="I12" s="11">
        <f>IFERROR(INDEX(Stock!$G$2:$G$13,MATCH(3,Stock!$M$2:$M$13,0)),"")</f>
        <v>6</v>
      </c>
    </row>
    <row r="13" spans="2:9" x14ac:dyDescent="0.25">
      <c r="B13" s="11" t="str">
        <f>INDEX(Stock!$A$2:$A$13,MATCH(LARGE(Stock!$L$2:$L$13,4),Stock!$L$2:$L$13,0))</f>
        <v>Tea Bags 80s</v>
      </c>
      <c r="C13" s="12">
        <f>INDEX(Stock!$J$2:$J$13,MATCH(LARGE(Stock!$L$2:$L$13,4),Stock!$L$2:$L$13,0))</f>
        <v>98.8</v>
      </c>
      <c r="D13" s="11">
        <f>INDEX(Stock!$F$2:$F$13,MATCH(LARGE(Stock!$L$2:$L$13,4),Stock!$L$2:$L$13,0))</f>
        <v>52</v>
      </c>
      <c r="H13" s="11" t="str">
        <f>IFERROR(INDEX(Stock!$A$2:$A$13,MATCH(4,Stock!$M$2:$M$13,0)),"")</f>
        <v>Pasta 500g</v>
      </c>
      <c r="I13" s="11">
        <f>IFERROR(INDEX(Stock!$G$2:$G$13,MATCH(4,Stock!$M$2:$M$13,0)),"")</f>
        <v>4</v>
      </c>
    </row>
    <row r="14" spans="2:9" x14ac:dyDescent="0.25">
      <c r="B14" s="11" t="str">
        <f>INDEX(Stock!$A$2:$A$13,MATCH(LARGE(Stock!$L$2:$L$13,5),Stock!$L$2:$L$13,0))</f>
        <v>Sparkling Water 6x</v>
      </c>
      <c r="C14" s="12">
        <f>INDEX(Stock!$J$2:$J$13,MATCH(LARGE(Stock!$L$2:$L$13,5),Stock!$L$2:$L$13,0))</f>
        <v>96.2</v>
      </c>
      <c r="D14" s="11">
        <f>INDEX(Stock!$F$2:$F$13,MATCH(LARGE(Stock!$L$2:$L$13,5),Stock!$L$2:$L$13,0))</f>
        <v>37</v>
      </c>
      <c r="H14" s="11" t="str">
        <f>IFERROR(INDEX(Stock!$A$2:$A$13,MATCH(5,Stock!$M$2:$M$13,0)),"")</f>
        <v/>
      </c>
      <c r="I14" s="11" t="str">
        <f>IFERROR(INDEX(Stock!$G$2:$G$13,MATCH(5,Stock!$M$2:$M$13,0)),"")</f>
        <v/>
      </c>
    </row>
    <row r="15" spans="2:9" x14ac:dyDescent="0.25">
      <c r="H15" s="11" t="str">
        <f>IFERROR(INDEX(Stock!$A$2:$A$13,MATCH(6,Stock!$M$2:$M$13,0)),"")</f>
        <v/>
      </c>
      <c r="I15" s="11" t="str">
        <f>IFERROR(INDEX(Stock!$G$2:$G$13,MATCH(6,Stock!$M$2:$M$13,0)),"")</f>
        <v/>
      </c>
    </row>
    <row r="17" spans="2:3" ht="15.75" x14ac:dyDescent="0.25">
      <c r="B17" s="7" t="s">
        <v>11</v>
      </c>
    </row>
    <row r="18" spans="2:3" x14ac:dyDescent="0.25">
      <c r="B18" s="9" t="s">
        <v>12</v>
      </c>
      <c r="C18" s="9" t="s">
        <v>8</v>
      </c>
    </row>
    <row r="19" spans="2:3" x14ac:dyDescent="0.25">
      <c r="B19" s="13">
        <v>46204</v>
      </c>
      <c r="C19" s="12">
        <f>SUMIFS(Sales!$E$2:$E$168,Sales!$A$2:$A$168,"&gt;="&amp;B19,Sales!$A$2:$A$168,"&lt;"&amp;EDATE(B19,1))</f>
        <v>299.58</v>
      </c>
    </row>
    <row r="20" spans="2:3" x14ac:dyDescent="0.25">
      <c r="B20" s="13">
        <v>46235</v>
      </c>
      <c r="C20" s="12">
        <f>SUMIFS(Sales!$E$2:$E$168,Sales!$A$2:$A$168,"&gt;="&amp;B20,Sales!$A$2:$A$168,"&lt;"&amp;EDATE(B20,1))</f>
        <v>361.57999999999993</v>
      </c>
    </row>
    <row r="21" spans="2:3" x14ac:dyDescent="0.25">
      <c r="B21" s="13">
        <v>46266</v>
      </c>
      <c r="C21" s="12">
        <f>SUMIFS(Sales!$E$2:$E$168,Sales!$A$2:$A$168,"&gt;="&amp;B21,Sales!$A$2:$A$168,"&lt;"&amp;EDATE(B21,1))</f>
        <v>357.87999999999994</v>
      </c>
    </row>
    <row r="24" spans="2:3" ht="15.75" x14ac:dyDescent="0.25">
      <c r="B24" s="7" t="s">
        <v>13</v>
      </c>
    </row>
    <row r="25" spans="2:3" x14ac:dyDescent="0.25">
      <c r="B25" s="9" t="s">
        <v>14</v>
      </c>
      <c r="C25" s="9" t="s">
        <v>8</v>
      </c>
    </row>
    <row r="26" spans="2:3" x14ac:dyDescent="0.25">
      <c r="B26" s="14" t="s">
        <v>15</v>
      </c>
      <c r="C26" s="12">
        <f>SUMIFS(Stock!$J$2:$J$13,Stock!$B$2:$B$13,B26)</f>
        <v>222.74999999999997</v>
      </c>
    </row>
    <row r="27" spans="2:3" x14ac:dyDescent="0.25">
      <c r="B27" s="14" t="s">
        <v>16</v>
      </c>
      <c r="C27" s="12">
        <f>SUMIFS(Stock!$J$2:$J$13,Stock!$B$2:$B$13,B27)</f>
        <v>124.8</v>
      </c>
    </row>
    <row r="28" spans="2:3" x14ac:dyDescent="0.25">
      <c r="B28" s="14" t="s">
        <v>17</v>
      </c>
      <c r="C28" s="12">
        <f>SUMIFS(Stock!$J$2:$J$13,Stock!$B$2:$B$13,B28)</f>
        <v>192.2</v>
      </c>
    </row>
    <row r="29" spans="2:3" x14ac:dyDescent="0.25">
      <c r="B29" s="14" t="s">
        <v>18</v>
      </c>
      <c r="C29" s="12">
        <f>SUMIFS(Stock!$J$2:$J$13,Stock!$B$2:$B$13,B29)</f>
        <v>193</v>
      </c>
    </row>
    <row r="30" spans="2:3" x14ac:dyDescent="0.25">
      <c r="B30" s="14" t="s">
        <v>19</v>
      </c>
      <c r="C30" s="12">
        <f>SUMIFS(Stock!$J$2:$J$13,Stock!$B$2:$B$13,B30)</f>
        <v>286.28999999999996</v>
      </c>
    </row>
  </sheetData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topLeftCell="C1" zoomScaleNormal="100" workbookViewId="0">
      <pane ySplit="1" topLeftCell="A2" activePane="bottomLeft" state="frozen"/>
      <selection pane="bottomLeft" activeCell="O4" sqref="O4"/>
    </sheetView>
  </sheetViews>
  <sheetFormatPr defaultColWidth="8.7109375" defaultRowHeight="15" x14ac:dyDescent="0.25"/>
  <cols>
    <col min="1" max="1" width="20" customWidth="1"/>
    <col min="2" max="2" width="12" customWidth="1"/>
    <col min="3" max="4" width="10" customWidth="1"/>
    <col min="5" max="5" width="13" customWidth="1"/>
    <col min="6" max="9" width="11" customWidth="1"/>
    <col min="10" max="10" width="13" customWidth="1"/>
    <col min="11" max="12" width="12" customWidth="1"/>
    <col min="13" max="13" width="10" customWidth="1"/>
    <col min="15" max="15" width="50" customWidth="1"/>
  </cols>
  <sheetData>
    <row r="1" spans="1:15" ht="31.5" customHeight="1" x14ac:dyDescent="0.25">
      <c r="A1" s="15" t="s">
        <v>7</v>
      </c>
      <c r="B1" s="15" t="s">
        <v>14</v>
      </c>
      <c r="C1" s="15" t="s">
        <v>20</v>
      </c>
      <c r="D1" s="15" t="s">
        <v>21</v>
      </c>
      <c r="E1" s="15" t="s">
        <v>22</v>
      </c>
      <c r="F1" s="15" t="s">
        <v>9</v>
      </c>
      <c r="G1" s="15" t="s">
        <v>10</v>
      </c>
      <c r="H1" s="15" t="s">
        <v>23</v>
      </c>
      <c r="I1" s="15" t="s">
        <v>24</v>
      </c>
      <c r="J1" s="15" t="s">
        <v>8</v>
      </c>
      <c r="K1" s="15" t="s">
        <v>25</v>
      </c>
      <c r="L1" s="15" t="s">
        <v>26</v>
      </c>
      <c r="M1" s="15" t="s">
        <v>27</v>
      </c>
      <c r="O1" s="16" t="s">
        <v>28</v>
      </c>
    </row>
    <row r="2" spans="1:15" x14ac:dyDescent="0.25">
      <c r="A2" s="14" t="s">
        <v>29</v>
      </c>
      <c r="B2" s="14" t="s">
        <v>15</v>
      </c>
      <c r="C2" s="17">
        <v>1.1000000000000001</v>
      </c>
      <c r="D2" s="17">
        <v>1.65</v>
      </c>
      <c r="E2" s="14">
        <v>70</v>
      </c>
      <c r="F2" s="11">
        <f>SUMIFS(Sales!$C$2:$C$168,Sales!$B$2:$B$168,A2)</f>
        <v>53</v>
      </c>
      <c r="G2" s="11">
        <f t="shared" ref="G2:G13" si="0">E2-F2</f>
        <v>17</v>
      </c>
      <c r="H2" s="14">
        <v>12</v>
      </c>
      <c r="I2" s="18" t="str">
        <f t="shared" ref="I2:I13" si="1">IF(G2&lt;=H2,"REORDER","OK")</f>
        <v>OK</v>
      </c>
      <c r="J2" s="12">
        <f t="shared" ref="J2:J13" si="2">F2*D2</f>
        <v>87.449999999999989</v>
      </c>
      <c r="K2" s="12">
        <f t="shared" ref="K2:K13" si="3">F2*(D2-C2)</f>
        <v>29.149999999999991</v>
      </c>
      <c r="L2" s="11">
        <f t="shared" ref="L2:L13" si="4">J2+ROW()/1000000</f>
        <v>87.450001999999984</v>
      </c>
      <c r="M2" s="11" t="str">
        <f>IF(I2="REORDER",COUNTIF($I$2:I2,"REORDER"),"")</f>
        <v/>
      </c>
      <c r="O2" s="19"/>
    </row>
    <row r="3" spans="1:15" x14ac:dyDescent="0.25">
      <c r="A3" s="14" t="s">
        <v>30</v>
      </c>
      <c r="B3" s="14" t="s">
        <v>15</v>
      </c>
      <c r="C3" s="17">
        <v>2.2000000000000002</v>
      </c>
      <c r="D3" s="17">
        <v>3.3</v>
      </c>
      <c r="E3" s="14">
        <v>46</v>
      </c>
      <c r="F3" s="11">
        <f>SUMIFS(Sales!$C$2:$C$168,Sales!$B$2:$B$168,A3)</f>
        <v>41</v>
      </c>
      <c r="G3" s="11">
        <f t="shared" si="0"/>
        <v>5</v>
      </c>
      <c r="H3" s="14">
        <v>6</v>
      </c>
      <c r="I3" s="18" t="str">
        <f t="shared" si="1"/>
        <v>REORDER</v>
      </c>
      <c r="J3" s="12">
        <f t="shared" si="2"/>
        <v>135.29999999999998</v>
      </c>
      <c r="K3" s="12">
        <f t="shared" si="3"/>
        <v>45.099999999999987</v>
      </c>
      <c r="L3" s="11">
        <f t="shared" si="4"/>
        <v>135.30000299999998</v>
      </c>
      <c r="M3" s="11">
        <f>IF(I3="REORDER",COUNTIF($I$2:I3,"REORDER"),"")</f>
        <v>1</v>
      </c>
      <c r="O3" s="19"/>
    </row>
    <row r="4" spans="1:15" x14ac:dyDescent="0.25">
      <c r="A4" s="14" t="s">
        <v>31</v>
      </c>
      <c r="B4" s="14" t="s">
        <v>16</v>
      </c>
      <c r="C4" s="17">
        <v>0.7</v>
      </c>
      <c r="D4" s="17">
        <v>1.2</v>
      </c>
      <c r="E4" s="14">
        <v>52</v>
      </c>
      <c r="F4" s="11">
        <f>SUMIFS(Sales!$C$2:$C$168,Sales!$B$2:$B$168,A4)</f>
        <v>49</v>
      </c>
      <c r="G4" s="11">
        <f t="shared" si="0"/>
        <v>3</v>
      </c>
      <c r="H4" s="14">
        <v>12</v>
      </c>
      <c r="I4" s="18" t="str">
        <f t="shared" si="1"/>
        <v>REORDER</v>
      </c>
      <c r="J4" s="12">
        <f t="shared" si="2"/>
        <v>58.8</v>
      </c>
      <c r="K4" s="12">
        <f t="shared" si="3"/>
        <v>24.5</v>
      </c>
      <c r="L4" s="11">
        <f t="shared" si="4"/>
        <v>58.800003999999994</v>
      </c>
      <c r="M4" s="11">
        <f>IF(I4="REORDER",COUNTIF($I$2:I4,"REORDER"),"")</f>
        <v>2</v>
      </c>
      <c r="O4" s="19"/>
    </row>
    <row r="5" spans="1:15" x14ac:dyDescent="0.25">
      <c r="A5" s="14" t="s">
        <v>32</v>
      </c>
      <c r="B5" s="14" t="s">
        <v>16</v>
      </c>
      <c r="C5" s="17">
        <v>1.3</v>
      </c>
      <c r="D5" s="17">
        <v>2.2000000000000002</v>
      </c>
      <c r="E5" s="14">
        <v>36</v>
      </c>
      <c r="F5" s="11">
        <f>SUMIFS(Sales!$C$2:$C$168,Sales!$B$2:$B$168,A5)</f>
        <v>30</v>
      </c>
      <c r="G5" s="11">
        <f t="shared" si="0"/>
        <v>6</v>
      </c>
      <c r="H5" s="14">
        <v>8</v>
      </c>
      <c r="I5" s="18" t="str">
        <f t="shared" si="1"/>
        <v>REORDER</v>
      </c>
      <c r="J5" s="12">
        <f t="shared" si="2"/>
        <v>66</v>
      </c>
      <c r="K5" s="12">
        <f t="shared" si="3"/>
        <v>27.000000000000004</v>
      </c>
      <c r="L5" s="11">
        <f t="shared" si="4"/>
        <v>66.000005000000002</v>
      </c>
      <c r="M5" s="11">
        <f>IF(I5="REORDER",COUNTIF($I$2:I5,"REORDER"),"")</f>
        <v>3</v>
      </c>
    </row>
    <row r="6" spans="1:15" x14ac:dyDescent="0.25">
      <c r="A6" s="14" t="s">
        <v>33</v>
      </c>
      <c r="B6" s="14" t="s">
        <v>17</v>
      </c>
      <c r="C6" s="17">
        <v>1.2</v>
      </c>
      <c r="D6" s="17">
        <v>2</v>
      </c>
      <c r="E6" s="14">
        <v>63</v>
      </c>
      <c r="F6" s="11">
        <f>SUMIFS(Sales!$C$2:$C$168,Sales!$B$2:$B$168,A6)</f>
        <v>48</v>
      </c>
      <c r="G6" s="11">
        <f t="shared" si="0"/>
        <v>15</v>
      </c>
      <c r="H6" s="14">
        <v>10</v>
      </c>
      <c r="I6" s="18" t="str">
        <f t="shared" si="1"/>
        <v>OK</v>
      </c>
      <c r="J6" s="12">
        <f t="shared" si="2"/>
        <v>96</v>
      </c>
      <c r="K6" s="12">
        <f t="shared" si="3"/>
        <v>38.400000000000006</v>
      </c>
      <c r="L6" s="11">
        <f t="shared" si="4"/>
        <v>96.000005999999999</v>
      </c>
      <c r="M6" s="11" t="str">
        <f>IF(I6="REORDER",COUNTIF($I$2:I6,"REORDER"),"")</f>
        <v/>
      </c>
    </row>
    <row r="7" spans="1:15" x14ac:dyDescent="0.25">
      <c r="A7" s="14" t="s">
        <v>34</v>
      </c>
      <c r="B7" s="14" t="s">
        <v>17</v>
      </c>
      <c r="C7" s="17">
        <v>1.6</v>
      </c>
      <c r="D7" s="17">
        <v>2.6</v>
      </c>
      <c r="E7" s="14">
        <v>56</v>
      </c>
      <c r="F7" s="11">
        <f>SUMIFS(Sales!$C$2:$C$168,Sales!$B$2:$B$168,A7)</f>
        <v>37</v>
      </c>
      <c r="G7" s="11">
        <f t="shared" si="0"/>
        <v>19</v>
      </c>
      <c r="H7" s="14">
        <v>8</v>
      </c>
      <c r="I7" s="18" t="str">
        <f t="shared" si="1"/>
        <v>OK</v>
      </c>
      <c r="J7" s="12">
        <f t="shared" si="2"/>
        <v>96.2</v>
      </c>
      <c r="K7" s="12">
        <f t="shared" si="3"/>
        <v>37</v>
      </c>
      <c r="L7" s="11">
        <f t="shared" si="4"/>
        <v>96.200006999999999</v>
      </c>
      <c r="M7" s="11" t="str">
        <f>IF(I7="REORDER",COUNTIF($I$2:I7,"REORDER"),"")</f>
        <v/>
      </c>
    </row>
    <row r="8" spans="1:15" x14ac:dyDescent="0.25">
      <c r="A8" s="14" t="s">
        <v>35</v>
      </c>
      <c r="B8" s="14" t="s">
        <v>18</v>
      </c>
      <c r="C8" s="17">
        <v>1</v>
      </c>
      <c r="D8" s="17">
        <v>1.9</v>
      </c>
      <c r="E8" s="14">
        <v>74</v>
      </c>
      <c r="F8" s="11">
        <f>SUMIFS(Sales!$C$2:$C$168,Sales!$B$2:$B$168,A8)</f>
        <v>52</v>
      </c>
      <c r="G8" s="11">
        <f t="shared" si="0"/>
        <v>22</v>
      </c>
      <c r="H8" s="14">
        <v>10</v>
      </c>
      <c r="I8" s="18" t="str">
        <f t="shared" si="1"/>
        <v>OK</v>
      </c>
      <c r="J8" s="12">
        <f t="shared" si="2"/>
        <v>98.8</v>
      </c>
      <c r="K8" s="12">
        <f t="shared" si="3"/>
        <v>46.8</v>
      </c>
      <c r="L8" s="11">
        <f t="shared" si="4"/>
        <v>98.800007999999991</v>
      </c>
      <c r="M8" s="11" t="str">
        <f>IF(I8="REORDER",COUNTIF($I$2:I8,"REORDER"),"")</f>
        <v/>
      </c>
    </row>
    <row r="9" spans="1:15" x14ac:dyDescent="0.25">
      <c r="A9" s="14" t="s">
        <v>36</v>
      </c>
      <c r="B9" s="14" t="s">
        <v>18</v>
      </c>
      <c r="C9" s="17">
        <v>0.5</v>
      </c>
      <c r="D9" s="17">
        <v>1.05</v>
      </c>
      <c r="E9" s="14">
        <v>38</v>
      </c>
      <c r="F9" s="11">
        <f>SUMIFS(Sales!$C$2:$C$168,Sales!$B$2:$B$168,A9)</f>
        <v>34</v>
      </c>
      <c r="G9" s="11">
        <f t="shared" si="0"/>
        <v>4</v>
      </c>
      <c r="H9" s="14">
        <v>10</v>
      </c>
      <c r="I9" s="18" t="str">
        <f t="shared" si="1"/>
        <v>REORDER</v>
      </c>
      <c r="J9" s="12">
        <f t="shared" si="2"/>
        <v>35.700000000000003</v>
      </c>
      <c r="K9" s="12">
        <f t="shared" si="3"/>
        <v>18.700000000000003</v>
      </c>
      <c r="L9" s="11">
        <f t="shared" si="4"/>
        <v>35.700009000000001</v>
      </c>
      <c r="M9" s="11">
        <f>IF(I9="REORDER",COUNTIF($I$2:I9,"REORDER"),"")</f>
        <v>4</v>
      </c>
    </row>
    <row r="10" spans="1:15" x14ac:dyDescent="0.25">
      <c r="A10" s="14" t="s">
        <v>37</v>
      </c>
      <c r="B10" s="14" t="s">
        <v>18</v>
      </c>
      <c r="C10" s="17">
        <v>1.1000000000000001</v>
      </c>
      <c r="D10" s="17">
        <v>1.95</v>
      </c>
      <c r="E10" s="14">
        <v>57</v>
      </c>
      <c r="F10" s="11">
        <f>SUMIFS(Sales!$C$2:$C$168,Sales!$B$2:$B$168,A10)</f>
        <v>30</v>
      </c>
      <c r="G10" s="11">
        <f t="shared" si="0"/>
        <v>27</v>
      </c>
      <c r="H10" s="14">
        <v>8</v>
      </c>
      <c r="I10" s="18" t="str">
        <f t="shared" si="1"/>
        <v>OK</v>
      </c>
      <c r="J10" s="12">
        <f t="shared" si="2"/>
        <v>58.5</v>
      </c>
      <c r="K10" s="12">
        <f t="shared" si="3"/>
        <v>25.499999999999996</v>
      </c>
      <c r="L10" s="11">
        <f t="shared" si="4"/>
        <v>58.500010000000003</v>
      </c>
      <c r="M10" s="11" t="str">
        <f>IF(I10="REORDER",COUNTIF($I$2:I10,"REORDER"),"")</f>
        <v/>
      </c>
    </row>
    <row r="11" spans="1:15" x14ac:dyDescent="0.25">
      <c r="A11" s="14" t="s">
        <v>38</v>
      </c>
      <c r="B11" s="14" t="s">
        <v>19</v>
      </c>
      <c r="C11" s="17">
        <v>1.4</v>
      </c>
      <c r="D11" s="17">
        <v>2.4</v>
      </c>
      <c r="E11" s="14">
        <v>66</v>
      </c>
      <c r="F11" s="11">
        <f>SUMIFS(Sales!$C$2:$C$168,Sales!$B$2:$B$168,A11)</f>
        <v>44</v>
      </c>
      <c r="G11" s="11">
        <f t="shared" si="0"/>
        <v>22</v>
      </c>
      <c r="H11" s="14">
        <v>12</v>
      </c>
      <c r="I11" s="18" t="str">
        <f t="shared" si="1"/>
        <v>OK</v>
      </c>
      <c r="J11" s="12">
        <f t="shared" si="2"/>
        <v>105.6</v>
      </c>
      <c r="K11" s="12">
        <f t="shared" si="3"/>
        <v>44</v>
      </c>
      <c r="L11" s="11">
        <f t="shared" si="4"/>
        <v>105.60001099999999</v>
      </c>
      <c r="M11" s="11" t="str">
        <f>IF(I11="REORDER",COUNTIF($I$2:I11,"REORDER"),"")</f>
        <v/>
      </c>
    </row>
    <row r="12" spans="1:15" x14ac:dyDescent="0.25">
      <c r="A12" s="14" t="s">
        <v>39</v>
      </c>
      <c r="B12" s="14" t="s">
        <v>19</v>
      </c>
      <c r="C12" s="17">
        <v>0.45</v>
      </c>
      <c r="D12" s="17">
        <v>0.99</v>
      </c>
      <c r="E12" s="14">
        <v>107</v>
      </c>
      <c r="F12" s="11">
        <f>SUMIFS(Sales!$C$2:$C$168,Sales!$B$2:$B$168,A12)</f>
        <v>81</v>
      </c>
      <c r="G12" s="11">
        <f t="shared" si="0"/>
        <v>26</v>
      </c>
      <c r="H12" s="14">
        <v>15</v>
      </c>
      <c r="I12" s="18" t="str">
        <f t="shared" si="1"/>
        <v>OK</v>
      </c>
      <c r="J12" s="12">
        <f t="shared" si="2"/>
        <v>80.19</v>
      </c>
      <c r="K12" s="12">
        <f t="shared" si="3"/>
        <v>43.74</v>
      </c>
      <c r="L12" s="11">
        <f t="shared" si="4"/>
        <v>80.190011999999996</v>
      </c>
      <c r="M12" s="11" t="str">
        <f>IF(I12="REORDER",COUNTIF($I$2:I12,"REORDER"),"")</f>
        <v/>
      </c>
    </row>
    <row r="13" spans="1:15" x14ac:dyDescent="0.25">
      <c r="A13" s="14" t="s">
        <v>40</v>
      </c>
      <c r="B13" s="14" t="s">
        <v>19</v>
      </c>
      <c r="C13" s="17">
        <v>0.8</v>
      </c>
      <c r="D13" s="17">
        <v>1.5</v>
      </c>
      <c r="E13" s="14">
        <v>92</v>
      </c>
      <c r="F13" s="11">
        <f>SUMIFS(Sales!$C$2:$C$168,Sales!$B$2:$B$168,A13)</f>
        <v>67</v>
      </c>
      <c r="G13" s="11">
        <f t="shared" si="0"/>
        <v>25</v>
      </c>
      <c r="H13" s="14">
        <v>8</v>
      </c>
      <c r="I13" s="18" t="str">
        <f t="shared" si="1"/>
        <v>OK</v>
      </c>
      <c r="J13" s="12">
        <f t="shared" si="2"/>
        <v>100.5</v>
      </c>
      <c r="K13" s="12">
        <f t="shared" si="3"/>
        <v>46.9</v>
      </c>
      <c r="L13" s="11">
        <f t="shared" si="4"/>
        <v>100.500013</v>
      </c>
      <c r="M13" s="11" t="str">
        <f>IF(I13="REORDER",COUNTIF($I$2:I13,"REORDER"),"")</f>
        <v/>
      </c>
    </row>
  </sheetData>
  <conditionalFormatting sqref="I2:I13">
    <cfRule type="cellIs" dxfId="0" priority="2" operator="equal">
      <formula>"REORDER"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8"/>
  <sheetViews>
    <sheetView tabSelected="1" zoomScaleNormal="100" workbookViewId="0">
      <pane ySplit="1" topLeftCell="A2" activePane="bottomLeft" state="frozen"/>
      <selection pane="bottomLeft" activeCell="G4" sqref="G4"/>
    </sheetView>
  </sheetViews>
  <sheetFormatPr defaultColWidth="8.7109375" defaultRowHeight="15" x14ac:dyDescent="0.25"/>
  <cols>
    <col min="1" max="1" width="12" customWidth="1"/>
    <col min="2" max="2" width="22" customWidth="1"/>
    <col min="3" max="3" width="8" customWidth="1"/>
    <col min="4" max="5" width="14" customWidth="1"/>
    <col min="7" max="7" width="48" customWidth="1"/>
  </cols>
  <sheetData>
    <row r="1" spans="1:7" ht="30" x14ac:dyDescent="0.25">
      <c r="A1" s="15" t="s">
        <v>41</v>
      </c>
      <c r="B1" s="15" t="s">
        <v>7</v>
      </c>
      <c r="C1" s="15" t="s">
        <v>42</v>
      </c>
      <c r="D1" s="15" t="s">
        <v>43</v>
      </c>
      <c r="E1" s="15" t="s">
        <v>8</v>
      </c>
      <c r="G1" s="16" t="s">
        <v>44</v>
      </c>
    </row>
    <row r="2" spans="1:7" x14ac:dyDescent="0.25">
      <c r="A2" s="20">
        <v>46204</v>
      </c>
      <c r="B2" s="14" t="s">
        <v>40</v>
      </c>
      <c r="C2" s="14">
        <v>4</v>
      </c>
      <c r="D2" s="21">
        <f>INDEX(Stock!$D$2:$D$13,MATCH(B2,Stock!$A$2:$A$13,0))</f>
        <v>1.5</v>
      </c>
      <c r="E2" s="21">
        <f t="shared" ref="E2:E33" si="0">C2*D2</f>
        <v>6</v>
      </c>
      <c r="G2" s="19"/>
    </row>
    <row r="3" spans="1:7" x14ac:dyDescent="0.25">
      <c r="A3" s="20">
        <v>46204</v>
      </c>
      <c r="B3" s="14" t="s">
        <v>37</v>
      </c>
      <c r="C3" s="14">
        <v>1</v>
      </c>
      <c r="D3" s="21">
        <f>INDEX(Stock!$D$2:$D$13,MATCH(B3,Stock!$A$2:$A$13,0))</f>
        <v>1.95</v>
      </c>
      <c r="E3" s="21">
        <f t="shared" si="0"/>
        <v>1.95</v>
      </c>
      <c r="G3" s="19"/>
    </row>
    <row r="4" spans="1:7" x14ac:dyDescent="0.25">
      <c r="A4" s="20">
        <v>46205</v>
      </c>
      <c r="B4" s="14" t="s">
        <v>29</v>
      </c>
      <c r="C4" s="14">
        <v>5</v>
      </c>
      <c r="D4" s="21">
        <f>INDEX(Stock!$D$2:$D$13,MATCH(B4,Stock!$A$2:$A$13,0))</f>
        <v>1.65</v>
      </c>
      <c r="E4" s="21">
        <f t="shared" si="0"/>
        <v>8.25</v>
      </c>
      <c r="G4" s="19"/>
    </row>
    <row r="5" spans="1:7" x14ac:dyDescent="0.25">
      <c r="A5" s="20">
        <v>46205</v>
      </c>
      <c r="B5" s="14" t="s">
        <v>29</v>
      </c>
      <c r="C5" s="14">
        <v>5</v>
      </c>
      <c r="D5" s="21">
        <f>INDEX(Stock!$D$2:$D$13,MATCH(B5,Stock!$A$2:$A$13,0))</f>
        <v>1.65</v>
      </c>
      <c r="E5" s="21">
        <f t="shared" si="0"/>
        <v>8.25</v>
      </c>
    </row>
    <row r="6" spans="1:7" x14ac:dyDescent="0.25">
      <c r="A6" s="20">
        <v>46205</v>
      </c>
      <c r="B6" s="14" t="s">
        <v>31</v>
      </c>
      <c r="C6" s="14">
        <v>1</v>
      </c>
      <c r="D6" s="21">
        <f>INDEX(Stock!$D$2:$D$13,MATCH(B6,Stock!$A$2:$A$13,0))</f>
        <v>1.2</v>
      </c>
      <c r="E6" s="21">
        <f t="shared" si="0"/>
        <v>1.2</v>
      </c>
    </row>
    <row r="7" spans="1:7" x14ac:dyDescent="0.25">
      <c r="A7" s="20">
        <v>46206</v>
      </c>
      <c r="B7" s="14" t="s">
        <v>33</v>
      </c>
      <c r="C7" s="14">
        <v>2</v>
      </c>
      <c r="D7" s="21">
        <f>INDEX(Stock!$D$2:$D$13,MATCH(B7,Stock!$A$2:$A$13,0))</f>
        <v>2</v>
      </c>
      <c r="E7" s="21">
        <f t="shared" si="0"/>
        <v>4</v>
      </c>
    </row>
    <row r="8" spans="1:7" x14ac:dyDescent="0.25">
      <c r="A8" s="20">
        <v>46206</v>
      </c>
      <c r="B8" s="14" t="s">
        <v>29</v>
      </c>
      <c r="C8" s="14">
        <v>4</v>
      </c>
      <c r="D8" s="21">
        <f>INDEX(Stock!$D$2:$D$13,MATCH(B8,Stock!$A$2:$A$13,0))</f>
        <v>1.65</v>
      </c>
      <c r="E8" s="21">
        <f t="shared" si="0"/>
        <v>6.6</v>
      </c>
    </row>
    <row r="9" spans="1:7" x14ac:dyDescent="0.25">
      <c r="A9" s="20">
        <v>46207</v>
      </c>
      <c r="B9" s="14" t="s">
        <v>39</v>
      </c>
      <c r="C9" s="14">
        <v>1</v>
      </c>
      <c r="D9" s="21">
        <f>INDEX(Stock!$D$2:$D$13,MATCH(B9,Stock!$A$2:$A$13,0))</f>
        <v>0.99</v>
      </c>
      <c r="E9" s="21">
        <f t="shared" si="0"/>
        <v>0.99</v>
      </c>
    </row>
    <row r="10" spans="1:7" x14ac:dyDescent="0.25">
      <c r="A10" s="20">
        <v>46208</v>
      </c>
      <c r="B10" s="14" t="s">
        <v>36</v>
      </c>
      <c r="C10" s="14">
        <v>5</v>
      </c>
      <c r="D10" s="21">
        <f>INDEX(Stock!$D$2:$D$13,MATCH(B10,Stock!$A$2:$A$13,0))</f>
        <v>1.05</v>
      </c>
      <c r="E10" s="21">
        <f t="shared" si="0"/>
        <v>5.25</v>
      </c>
    </row>
    <row r="11" spans="1:7" x14ac:dyDescent="0.25">
      <c r="A11" s="20">
        <v>46209</v>
      </c>
      <c r="B11" s="14" t="s">
        <v>36</v>
      </c>
      <c r="C11" s="14">
        <v>4</v>
      </c>
      <c r="D11" s="21">
        <f>INDEX(Stock!$D$2:$D$13,MATCH(B11,Stock!$A$2:$A$13,0))</f>
        <v>1.05</v>
      </c>
      <c r="E11" s="21">
        <f t="shared" si="0"/>
        <v>4.2</v>
      </c>
    </row>
    <row r="12" spans="1:7" x14ac:dyDescent="0.25">
      <c r="A12" s="20">
        <v>46210</v>
      </c>
      <c r="B12" s="14" t="s">
        <v>40</v>
      </c>
      <c r="C12" s="14">
        <v>1</v>
      </c>
      <c r="D12" s="21">
        <f>INDEX(Stock!$D$2:$D$13,MATCH(B12,Stock!$A$2:$A$13,0))</f>
        <v>1.5</v>
      </c>
      <c r="E12" s="21">
        <f t="shared" si="0"/>
        <v>1.5</v>
      </c>
    </row>
    <row r="13" spans="1:7" x14ac:dyDescent="0.25">
      <c r="A13" s="20">
        <v>46211</v>
      </c>
      <c r="B13" s="14" t="s">
        <v>39</v>
      </c>
      <c r="C13" s="14">
        <v>3</v>
      </c>
      <c r="D13" s="21">
        <f>INDEX(Stock!$D$2:$D$13,MATCH(B13,Stock!$A$2:$A$13,0))</f>
        <v>0.99</v>
      </c>
      <c r="E13" s="21">
        <f t="shared" si="0"/>
        <v>2.9699999999999998</v>
      </c>
    </row>
    <row r="14" spans="1:7" x14ac:dyDescent="0.25">
      <c r="A14" s="20">
        <v>46211</v>
      </c>
      <c r="B14" s="14" t="s">
        <v>33</v>
      </c>
      <c r="C14" s="14">
        <v>5</v>
      </c>
      <c r="D14" s="21">
        <f>INDEX(Stock!$D$2:$D$13,MATCH(B14,Stock!$A$2:$A$13,0))</f>
        <v>2</v>
      </c>
      <c r="E14" s="21">
        <f t="shared" si="0"/>
        <v>10</v>
      </c>
    </row>
    <row r="15" spans="1:7" x14ac:dyDescent="0.25">
      <c r="A15" s="20">
        <v>46211</v>
      </c>
      <c r="B15" s="14" t="s">
        <v>30</v>
      </c>
      <c r="C15" s="14">
        <v>3</v>
      </c>
      <c r="D15" s="21">
        <f>INDEX(Stock!$D$2:$D$13,MATCH(B15,Stock!$A$2:$A$13,0))</f>
        <v>3.3</v>
      </c>
      <c r="E15" s="21">
        <f t="shared" si="0"/>
        <v>9.8999999999999986</v>
      </c>
    </row>
    <row r="16" spans="1:7" x14ac:dyDescent="0.25">
      <c r="A16" s="20">
        <v>46212</v>
      </c>
      <c r="B16" s="14" t="s">
        <v>39</v>
      </c>
      <c r="C16" s="14">
        <v>2</v>
      </c>
      <c r="D16" s="21">
        <f>INDEX(Stock!$D$2:$D$13,MATCH(B16,Stock!$A$2:$A$13,0))</f>
        <v>0.99</v>
      </c>
      <c r="E16" s="21">
        <f t="shared" si="0"/>
        <v>1.98</v>
      </c>
    </row>
    <row r="17" spans="1:5" x14ac:dyDescent="0.25">
      <c r="A17" s="20">
        <v>46212</v>
      </c>
      <c r="B17" s="14" t="s">
        <v>29</v>
      </c>
      <c r="C17" s="14">
        <v>5</v>
      </c>
      <c r="D17" s="21">
        <f>INDEX(Stock!$D$2:$D$13,MATCH(B17,Stock!$A$2:$A$13,0))</f>
        <v>1.65</v>
      </c>
      <c r="E17" s="21">
        <f t="shared" si="0"/>
        <v>8.25</v>
      </c>
    </row>
    <row r="18" spans="1:5" x14ac:dyDescent="0.25">
      <c r="A18" s="20">
        <v>46212</v>
      </c>
      <c r="B18" s="14" t="s">
        <v>37</v>
      </c>
      <c r="C18" s="14">
        <v>3</v>
      </c>
      <c r="D18" s="21">
        <f>INDEX(Stock!$D$2:$D$13,MATCH(B18,Stock!$A$2:$A$13,0))</f>
        <v>1.95</v>
      </c>
      <c r="E18" s="21">
        <f t="shared" si="0"/>
        <v>5.85</v>
      </c>
    </row>
    <row r="19" spans="1:5" x14ac:dyDescent="0.25">
      <c r="A19" s="20">
        <v>46213</v>
      </c>
      <c r="B19" s="14" t="s">
        <v>35</v>
      </c>
      <c r="C19" s="14">
        <v>1</v>
      </c>
      <c r="D19" s="21">
        <f>INDEX(Stock!$D$2:$D$13,MATCH(B19,Stock!$A$2:$A$13,0))</f>
        <v>1.9</v>
      </c>
      <c r="E19" s="21">
        <f t="shared" si="0"/>
        <v>1.9</v>
      </c>
    </row>
    <row r="20" spans="1:5" x14ac:dyDescent="0.25">
      <c r="A20" s="20">
        <v>46214</v>
      </c>
      <c r="B20" s="14" t="s">
        <v>29</v>
      </c>
      <c r="C20" s="14">
        <v>2</v>
      </c>
      <c r="D20" s="21">
        <f>INDEX(Stock!$D$2:$D$13,MATCH(B20,Stock!$A$2:$A$13,0))</f>
        <v>1.65</v>
      </c>
      <c r="E20" s="21">
        <f t="shared" si="0"/>
        <v>3.3</v>
      </c>
    </row>
    <row r="21" spans="1:5" x14ac:dyDescent="0.25">
      <c r="A21" s="20">
        <v>46214</v>
      </c>
      <c r="B21" s="14" t="s">
        <v>35</v>
      </c>
      <c r="C21" s="14">
        <v>5</v>
      </c>
      <c r="D21" s="21">
        <f>INDEX(Stock!$D$2:$D$13,MATCH(B21,Stock!$A$2:$A$13,0))</f>
        <v>1.9</v>
      </c>
      <c r="E21" s="21">
        <f t="shared" si="0"/>
        <v>9.5</v>
      </c>
    </row>
    <row r="22" spans="1:5" x14ac:dyDescent="0.25">
      <c r="A22" s="20">
        <v>46214</v>
      </c>
      <c r="B22" s="14" t="s">
        <v>33</v>
      </c>
      <c r="C22" s="14">
        <v>3</v>
      </c>
      <c r="D22" s="21">
        <f>INDEX(Stock!$D$2:$D$13,MATCH(B22,Stock!$A$2:$A$13,0))</f>
        <v>2</v>
      </c>
      <c r="E22" s="21">
        <f t="shared" si="0"/>
        <v>6</v>
      </c>
    </row>
    <row r="23" spans="1:5" x14ac:dyDescent="0.25">
      <c r="A23" s="20">
        <v>46215</v>
      </c>
      <c r="B23" s="14" t="s">
        <v>36</v>
      </c>
      <c r="C23" s="14">
        <v>4</v>
      </c>
      <c r="D23" s="21">
        <f>INDEX(Stock!$D$2:$D$13,MATCH(B23,Stock!$A$2:$A$13,0))</f>
        <v>1.05</v>
      </c>
      <c r="E23" s="21">
        <f t="shared" si="0"/>
        <v>4.2</v>
      </c>
    </row>
    <row r="24" spans="1:5" x14ac:dyDescent="0.25">
      <c r="A24" s="20">
        <v>46215</v>
      </c>
      <c r="B24" s="14" t="s">
        <v>33</v>
      </c>
      <c r="C24" s="14">
        <v>2</v>
      </c>
      <c r="D24" s="21">
        <f>INDEX(Stock!$D$2:$D$13,MATCH(B24,Stock!$A$2:$A$13,0))</f>
        <v>2</v>
      </c>
      <c r="E24" s="21">
        <f t="shared" si="0"/>
        <v>4</v>
      </c>
    </row>
    <row r="25" spans="1:5" x14ac:dyDescent="0.25">
      <c r="A25" s="20">
        <v>46216</v>
      </c>
      <c r="B25" s="14" t="s">
        <v>38</v>
      </c>
      <c r="C25" s="14">
        <v>2</v>
      </c>
      <c r="D25" s="21">
        <f>INDEX(Stock!$D$2:$D$13,MATCH(B25,Stock!$A$2:$A$13,0))</f>
        <v>2.4</v>
      </c>
      <c r="E25" s="21">
        <f t="shared" si="0"/>
        <v>4.8</v>
      </c>
    </row>
    <row r="26" spans="1:5" x14ac:dyDescent="0.25">
      <c r="A26" s="20">
        <v>46217</v>
      </c>
      <c r="B26" s="14" t="s">
        <v>36</v>
      </c>
      <c r="C26" s="14">
        <v>5</v>
      </c>
      <c r="D26" s="21">
        <f>INDEX(Stock!$D$2:$D$13,MATCH(B26,Stock!$A$2:$A$13,0))</f>
        <v>1.05</v>
      </c>
      <c r="E26" s="21">
        <f t="shared" si="0"/>
        <v>5.25</v>
      </c>
    </row>
    <row r="27" spans="1:5" x14ac:dyDescent="0.25">
      <c r="A27" s="20">
        <v>46218</v>
      </c>
      <c r="B27" s="14" t="s">
        <v>39</v>
      </c>
      <c r="C27" s="14">
        <v>6</v>
      </c>
      <c r="D27" s="21">
        <f>INDEX(Stock!$D$2:$D$13,MATCH(B27,Stock!$A$2:$A$13,0))</f>
        <v>0.99</v>
      </c>
      <c r="E27" s="21">
        <f t="shared" si="0"/>
        <v>5.9399999999999995</v>
      </c>
    </row>
    <row r="28" spans="1:5" x14ac:dyDescent="0.25">
      <c r="A28" s="20">
        <v>46218</v>
      </c>
      <c r="B28" s="14" t="s">
        <v>34</v>
      </c>
      <c r="C28" s="14">
        <v>5</v>
      </c>
      <c r="D28" s="21">
        <f>INDEX(Stock!$D$2:$D$13,MATCH(B28,Stock!$A$2:$A$13,0))</f>
        <v>2.6</v>
      </c>
      <c r="E28" s="21">
        <f t="shared" si="0"/>
        <v>13</v>
      </c>
    </row>
    <row r="29" spans="1:5" x14ac:dyDescent="0.25">
      <c r="A29" s="20">
        <v>46219</v>
      </c>
      <c r="B29" s="14" t="s">
        <v>30</v>
      </c>
      <c r="C29" s="14">
        <v>4</v>
      </c>
      <c r="D29" s="21">
        <f>INDEX(Stock!$D$2:$D$13,MATCH(B29,Stock!$A$2:$A$13,0))</f>
        <v>3.3</v>
      </c>
      <c r="E29" s="21">
        <f t="shared" si="0"/>
        <v>13.2</v>
      </c>
    </row>
    <row r="30" spans="1:5" x14ac:dyDescent="0.25">
      <c r="A30" s="20">
        <v>46220</v>
      </c>
      <c r="B30" s="14" t="s">
        <v>38</v>
      </c>
      <c r="C30" s="14">
        <v>2</v>
      </c>
      <c r="D30" s="21">
        <f>INDEX(Stock!$D$2:$D$13,MATCH(B30,Stock!$A$2:$A$13,0))</f>
        <v>2.4</v>
      </c>
      <c r="E30" s="21">
        <f t="shared" si="0"/>
        <v>4.8</v>
      </c>
    </row>
    <row r="31" spans="1:5" x14ac:dyDescent="0.25">
      <c r="A31" s="20">
        <v>46221</v>
      </c>
      <c r="B31" s="14" t="s">
        <v>33</v>
      </c>
      <c r="C31" s="14">
        <v>6</v>
      </c>
      <c r="D31" s="21">
        <f>INDEX(Stock!$D$2:$D$13,MATCH(B31,Stock!$A$2:$A$13,0))</f>
        <v>2</v>
      </c>
      <c r="E31" s="21">
        <f t="shared" si="0"/>
        <v>12</v>
      </c>
    </row>
    <row r="32" spans="1:5" x14ac:dyDescent="0.25">
      <c r="A32" s="20">
        <v>46221</v>
      </c>
      <c r="B32" s="14" t="s">
        <v>29</v>
      </c>
      <c r="C32" s="14">
        <v>5</v>
      </c>
      <c r="D32" s="21">
        <f>INDEX(Stock!$D$2:$D$13,MATCH(B32,Stock!$A$2:$A$13,0))</f>
        <v>1.65</v>
      </c>
      <c r="E32" s="21">
        <f t="shared" si="0"/>
        <v>8.25</v>
      </c>
    </row>
    <row r="33" spans="1:5" x14ac:dyDescent="0.25">
      <c r="A33" s="20">
        <v>46222</v>
      </c>
      <c r="B33" s="14" t="s">
        <v>39</v>
      </c>
      <c r="C33" s="14">
        <v>3</v>
      </c>
      <c r="D33" s="21">
        <f>INDEX(Stock!$D$2:$D$13,MATCH(B33,Stock!$A$2:$A$13,0))</f>
        <v>0.99</v>
      </c>
      <c r="E33" s="21">
        <f t="shared" si="0"/>
        <v>2.9699999999999998</v>
      </c>
    </row>
    <row r="34" spans="1:5" x14ac:dyDescent="0.25">
      <c r="A34" s="20">
        <v>46222</v>
      </c>
      <c r="B34" s="14" t="s">
        <v>32</v>
      </c>
      <c r="C34" s="14">
        <v>3</v>
      </c>
      <c r="D34" s="21">
        <f>INDEX(Stock!$D$2:$D$13,MATCH(B34,Stock!$A$2:$A$13,0))</f>
        <v>2.2000000000000002</v>
      </c>
      <c r="E34" s="21">
        <f t="shared" ref="E34:E65" si="1">C34*D34</f>
        <v>6.6000000000000005</v>
      </c>
    </row>
    <row r="35" spans="1:5" x14ac:dyDescent="0.25">
      <c r="A35" s="20">
        <v>46222</v>
      </c>
      <c r="B35" s="14" t="s">
        <v>36</v>
      </c>
      <c r="C35" s="14">
        <v>5</v>
      </c>
      <c r="D35" s="21">
        <f>INDEX(Stock!$D$2:$D$13,MATCH(B35,Stock!$A$2:$A$13,0))</f>
        <v>1.05</v>
      </c>
      <c r="E35" s="21">
        <f t="shared" si="1"/>
        <v>5.25</v>
      </c>
    </row>
    <row r="36" spans="1:5" x14ac:dyDescent="0.25">
      <c r="A36" s="20">
        <v>46223</v>
      </c>
      <c r="B36" s="14" t="s">
        <v>29</v>
      </c>
      <c r="C36" s="14">
        <v>1</v>
      </c>
      <c r="D36" s="21">
        <f>INDEX(Stock!$D$2:$D$13,MATCH(B36,Stock!$A$2:$A$13,0))</f>
        <v>1.65</v>
      </c>
      <c r="E36" s="21">
        <f t="shared" si="1"/>
        <v>1.65</v>
      </c>
    </row>
    <row r="37" spans="1:5" x14ac:dyDescent="0.25">
      <c r="A37" s="20">
        <v>46223</v>
      </c>
      <c r="B37" s="14" t="s">
        <v>40</v>
      </c>
      <c r="C37" s="14">
        <v>4</v>
      </c>
      <c r="D37" s="21">
        <f>INDEX(Stock!$D$2:$D$13,MATCH(B37,Stock!$A$2:$A$13,0))</f>
        <v>1.5</v>
      </c>
      <c r="E37" s="21">
        <f t="shared" si="1"/>
        <v>6</v>
      </c>
    </row>
    <row r="38" spans="1:5" x14ac:dyDescent="0.25">
      <c r="A38" s="20">
        <v>46224</v>
      </c>
      <c r="B38" s="14" t="s">
        <v>37</v>
      </c>
      <c r="C38" s="14">
        <v>1</v>
      </c>
      <c r="D38" s="21">
        <f>INDEX(Stock!$D$2:$D$13,MATCH(B38,Stock!$A$2:$A$13,0))</f>
        <v>1.95</v>
      </c>
      <c r="E38" s="21">
        <f t="shared" si="1"/>
        <v>1.95</v>
      </c>
    </row>
    <row r="39" spans="1:5" x14ac:dyDescent="0.25">
      <c r="A39" s="20">
        <v>46224</v>
      </c>
      <c r="B39" s="14" t="s">
        <v>38</v>
      </c>
      <c r="C39" s="14">
        <v>3</v>
      </c>
      <c r="D39" s="21">
        <f>INDEX(Stock!$D$2:$D$13,MATCH(B39,Stock!$A$2:$A$13,0))</f>
        <v>2.4</v>
      </c>
      <c r="E39" s="21">
        <f t="shared" si="1"/>
        <v>7.1999999999999993</v>
      </c>
    </row>
    <row r="40" spans="1:5" x14ac:dyDescent="0.25">
      <c r="A40" s="20">
        <v>46224</v>
      </c>
      <c r="B40" s="14" t="s">
        <v>37</v>
      </c>
      <c r="C40" s="14">
        <v>6</v>
      </c>
      <c r="D40" s="21">
        <f>INDEX(Stock!$D$2:$D$13,MATCH(B40,Stock!$A$2:$A$13,0))</f>
        <v>1.95</v>
      </c>
      <c r="E40" s="21">
        <f t="shared" si="1"/>
        <v>11.7</v>
      </c>
    </row>
    <row r="41" spans="1:5" x14ac:dyDescent="0.25">
      <c r="A41" s="20">
        <v>46225</v>
      </c>
      <c r="B41" s="14" t="s">
        <v>31</v>
      </c>
      <c r="C41" s="14">
        <v>4</v>
      </c>
      <c r="D41" s="21">
        <f>INDEX(Stock!$D$2:$D$13,MATCH(B41,Stock!$A$2:$A$13,0))</f>
        <v>1.2</v>
      </c>
      <c r="E41" s="21">
        <f t="shared" si="1"/>
        <v>4.8</v>
      </c>
    </row>
    <row r="42" spans="1:5" x14ac:dyDescent="0.25">
      <c r="A42" s="20">
        <v>46225</v>
      </c>
      <c r="B42" s="14" t="s">
        <v>39</v>
      </c>
      <c r="C42" s="14">
        <v>3</v>
      </c>
      <c r="D42" s="21">
        <f>INDEX(Stock!$D$2:$D$13,MATCH(B42,Stock!$A$2:$A$13,0))</f>
        <v>0.99</v>
      </c>
      <c r="E42" s="21">
        <f t="shared" si="1"/>
        <v>2.9699999999999998</v>
      </c>
    </row>
    <row r="43" spans="1:5" x14ac:dyDescent="0.25">
      <c r="A43" s="20">
        <v>46226</v>
      </c>
      <c r="B43" s="14" t="s">
        <v>40</v>
      </c>
      <c r="C43" s="14">
        <v>3</v>
      </c>
      <c r="D43" s="21">
        <f>INDEX(Stock!$D$2:$D$13,MATCH(B43,Stock!$A$2:$A$13,0))</f>
        <v>1.5</v>
      </c>
      <c r="E43" s="21">
        <f t="shared" si="1"/>
        <v>4.5</v>
      </c>
    </row>
    <row r="44" spans="1:5" x14ac:dyDescent="0.25">
      <c r="A44" s="20">
        <v>46227</v>
      </c>
      <c r="B44" s="14" t="s">
        <v>36</v>
      </c>
      <c r="C44" s="14">
        <v>4</v>
      </c>
      <c r="D44" s="21">
        <f>INDEX(Stock!$D$2:$D$13,MATCH(B44,Stock!$A$2:$A$13,0))</f>
        <v>1.05</v>
      </c>
      <c r="E44" s="21">
        <f t="shared" si="1"/>
        <v>4.2</v>
      </c>
    </row>
    <row r="45" spans="1:5" x14ac:dyDescent="0.25">
      <c r="A45" s="20">
        <v>46228</v>
      </c>
      <c r="B45" s="14" t="s">
        <v>31</v>
      </c>
      <c r="C45" s="14">
        <v>3</v>
      </c>
      <c r="D45" s="21">
        <f>INDEX(Stock!$D$2:$D$13,MATCH(B45,Stock!$A$2:$A$13,0))</f>
        <v>1.2</v>
      </c>
      <c r="E45" s="21">
        <f t="shared" si="1"/>
        <v>3.5999999999999996</v>
      </c>
    </row>
    <row r="46" spans="1:5" x14ac:dyDescent="0.25">
      <c r="A46" s="20">
        <v>46229</v>
      </c>
      <c r="B46" s="14" t="s">
        <v>38</v>
      </c>
      <c r="C46" s="14">
        <v>4</v>
      </c>
      <c r="D46" s="21">
        <f>INDEX(Stock!$D$2:$D$13,MATCH(B46,Stock!$A$2:$A$13,0))</f>
        <v>2.4</v>
      </c>
      <c r="E46" s="21">
        <f t="shared" si="1"/>
        <v>9.6</v>
      </c>
    </row>
    <row r="47" spans="1:5" x14ac:dyDescent="0.25">
      <c r="A47" s="20">
        <v>46230</v>
      </c>
      <c r="B47" s="14" t="s">
        <v>39</v>
      </c>
      <c r="C47" s="14">
        <v>4</v>
      </c>
      <c r="D47" s="21">
        <f>INDEX(Stock!$D$2:$D$13,MATCH(B47,Stock!$A$2:$A$13,0))</f>
        <v>0.99</v>
      </c>
      <c r="E47" s="21">
        <f t="shared" si="1"/>
        <v>3.96</v>
      </c>
    </row>
    <row r="48" spans="1:5" x14ac:dyDescent="0.25">
      <c r="A48" s="20">
        <v>46230</v>
      </c>
      <c r="B48" s="14" t="s">
        <v>29</v>
      </c>
      <c r="C48" s="14">
        <v>4</v>
      </c>
      <c r="D48" s="21">
        <f>INDEX(Stock!$D$2:$D$13,MATCH(B48,Stock!$A$2:$A$13,0))</f>
        <v>1.65</v>
      </c>
      <c r="E48" s="21">
        <f t="shared" si="1"/>
        <v>6.6</v>
      </c>
    </row>
    <row r="49" spans="1:5" x14ac:dyDescent="0.25">
      <c r="A49" s="20">
        <v>46231</v>
      </c>
      <c r="B49" s="14" t="s">
        <v>35</v>
      </c>
      <c r="C49" s="14">
        <v>2</v>
      </c>
      <c r="D49" s="21">
        <f>INDEX(Stock!$D$2:$D$13,MATCH(B49,Stock!$A$2:$A$13,0))</f>
        <v>1.9</v>
      </c>
      <c r="E49" s="21">
        <f t="shared" si="1"/>
        <v>3.8</v>
      </c>
    </row>
    <row r="50" spans="1:5" x14ac:dyDescent="0.25">
      <c r="A50" s="20">
        <v>46231</v>
      </c>
      <c r="B50" s="14" t="s">
        <v>39</v>
      </c>
      <c r="C50" s="14">
        <v>5</v>
      </c>
      <c r="D50" s="21">
        <f>INDEX(Stock!$D$2:$D$13,MATCH(B50,Stock!$A$2:$A$13,0))</f>
        <v>0.99</v>
      </c>
      <c r="E50" s="21">
        <f t="shared" si="1"/>
        <v>4.95</v>
      </c>
    </row>
    <row r="51" spans="1:5" x14ac:dyDescent="0.25">
      <c r="A51" s="20">
        <v>46232</v>
      </c>
      <c r="B51" s="14" t="s">
        <v>38</v>
      </c>
      <c r="C51" s="14">
        <v>3</v>
      </c>
      <c r="D51" s="21">
        <f>INDEX(Stock!$D$2:$D$13,MATCH(B51,Stock!$A$2:$A$13,0))</f>
        <v>2.4</v>
      </c>
      <c r="E51" s="21">
        <f t="shared" si="1"/>
        <v>7.1999999999999993</v>
      </c>
    </row>
    <row r="52" spans="1:5" x14ac:dyDescent="0.25">
      <c r="A52" s="20">
        <v>46232</v>
      </c>
      <c r="B52" s="14" t="s">
        <v>37</v>
      </c>
      <c r="C52" s="14">
        <v>4</v>
      </c>
      <c r="D52" s="21">
        <f>INDEX(Stock!$D$2:$D$13,MATCH(B52,Stock!$A$2:$A$13,0))</f>
        <v>1.95</v>
      </c>
      <c r="E52" s="21">
        <f t="shared" si="1"/>
        <v>7.8</v>
      </c>
    </row>
    <row r="53" spans="1:5" x14ac:dyDescent="0.25">
      <c r="A53" s="20">
        <v>46233</v>
      </c>
      <c r="B53" s="14" t="s">
        <v>30</v>
      </c>
      <c r="C53" s="14">
        <v>2</v>
      </c>
      <c r="D53" s="21">
        <f>INDEX(Stock!$D$2:$D$13,MATCH(B53,Stock!$A$2:$A$13,0))</f>
        <v>3.3</v>
      </c>
      <c r="E53" s="21">
        <f t="shared" si="1"/>
        <v>6.6</v>
      </c>
    </row>
    <row r="54" spans="1:5" x14ac:dyDescent="0.25">
      <c r="A54" s="20">
        <v>46234</v>
      </c>
      <c r="B54" s="14" t="s">
        <v>31</v>
      </c>
      <c r="C54" s="14">
        <v>2</v>
      </c>
      <c r="D54" s="21">
        <f>INDEX(Stock!$D$2:$D$13,MATCH(B54,Stock!$A$2:$A$13,0))</f>
        <v>1.2</v>
      </c>
      <c r="E54" s="21">
        <f t="shared" si="1"/>
        <v>2.4</v>
      </c>
    </row>
    <row r="55" spans="1:5" x14ac:dyDescent="0.25">
      <c r="A55" s="20">
        <v>46235</v>
      </c>
      <c r="B55" s="14" t="s">
        <v>34</v>
      </c>
      <c r="C55" s="14">
        <v>5</v>
      </c>
      <c r="D55" s="21">
        <f>INDEX(Stock!$D$2:$D$13,MATCH(B55,Stock!$A$2:$A$13,0))</f>
        <v>2.6</v>
      </c>
      <c r="E55" s="21">
        <f t="shared" si="1"/>
        <v>13</v>
      </c>
    </row>
    <row r="56" spans="1:5" x14ac:dyDescent="0.25">
      <c r="A56" s="20">
        <v>46236</v>
      </c>
      <c r="B56" s="14" t="s">
        <v>31</v>
      </c>
      <c r="C56" s="14">
        <v>1</v>
      </c>
      <c r="D56" s="21">
        <f>INDEX(Stock!$D$2:$D$13,MATCH(B56,Stock!$A$2:$A$13,0))</f>
        <v>1.2</v>
      </c>
      <c r="E56" s="21">
        <f t="shared" si="1"/>
        <v>1.2</v>
      </c>
    </row>
    <row r="57" spans="1:5" x14ac:dyDescent="0.25">
      <c r="A57" s="20">
        <v>46237</v>
      </c>
      <c r="B57" s="14" t="s">
        <v>33</v>
      </c>
      <c r="C57" s="14">
        <v>3</v>
      </c>
      <c r="D57" s="21">
        <f>INDEX(Stock!$D$2:$D$13,MATCH(B57,Stock!$A$2:$A$13,0))</f>
        <v>2</v>
      </c>
      <c r="E57" s="21">
        <f t="shared" si="1"/>
        <v>6</v>
      </c>
    </row>
    <row r="58" spans="1:5" x14ac:dyDescent="0.25">
      <c r="A58" s="20">
        <v>46238</v>
      </c>
      <c r="B58" s="14" t="s">
        <v>35</v>
      </c>
      <c r="C58" s="14">
        <v>2</v>
      </c>
      <c r="D58" s="21">
        <f>INDEX(Stock!$D$2:$D$13,MATCH(B58,Stock!$A$2:$A$13,0))</f>
        <v>1.9</v>
      </c>
      <c r="E58" s="21">
        <f t="shared" si="1"/>
        <v>3.8</v>
      </c>
    </row>
    <row r="59" spans="1:5" x14ac:dyDescent="0.25">
      <c r="A59" s="20">
        <v>46238</v>
      </c>
      <c r="B59" s="14" t="s">
        <v>38</v>
      </c>
      <c r="C59" s="14">
        <v>5</v>
      </c>
      <c r="D59" s="21">
        <f>INDEX(Stock!$D$2:$D$13,MATCH(B59,Stock!$A$2:$A$13,0))</f>
        <v>2.4</v>
      </c>
      <c r="E59" s="21">
        <f t="shared" si="1"/>
        <v>12</v>
      </c>
    </row>
    <row r="60" spans="1:5" x14ac:dyDescent="0.25">
      <c r="A60" s="20">
        <v>46238</v>
      </c>
      <c r="B60" s="14" t="s">
        <v>40</v>
      </c>
      <c r="C60" s="14">
        <v>6</v>
      </c>
      <c r="D60" s="21">
        <f>INDEX(Stock!$D$2:$D$13,MATCH(B60,Stock!$A$2:$A$13,0))</f>
        <v>1.5</v>
      </c>
      <c r="E60" s="21">
        <f t="shared" si="1"/>
        <v>9</v>
      </c>
    </row>
    <row r="61" spans="1:5" x14ac:dyDescent="0.25">
      <c r="A61" s="20">
        <v>46239</v>
      </c>
      <c r="B61" s="14" t="s">
        <v>38</v>
      </c>
      <c r="C61" s="14">
        <v>4</v>
      </c>
      <c r="D61" s="21">
        <f>INDEX(Stock!$D$2:$D$13,MATCH(B61,Stock!$A$2:$A$13,0))</f>
        <v>2.4</v>
      </c>
      <c r="E61" s="21">
        <f t="shared" si="1"/>
        <v>9.6</v>
      </c>
    </row>
    <row r="62" spans="1:5" x14ac:dyDescent="0.25">
      <c r="A62" s="20">
        <v>46239</v>
      </c>
      <c r="B62" s="14" t="s">
        <v>39</v>
      </c>
      <c r="C62" s="14">
        <v>6</v>
      </c>
      <c r="D62" s="21">
        <f>INDEX(Stock!$D$2:$D$13,MATCH(B62,Stock!$A$2:$A$13,0))</f>
        <v>0.99</v>
      </c>
      <c r="E62" s="21">
        <f t="shared" si="1"/>
        <v>5.9399999999999995</v>
      </c>
    </row>
    <row r="63" spans="1:5" x14ac:dyDescent="0.25">
      <c r="A63" s="20">
        <v>46239</v>
      </c>
      <c r="B63" s="14" t="s">
        <v>39</v>
      </c>
      <c r="C63" s="14">
        <v>4</v>
      </c>
      <c r="D63" s="21">
        <f>INDEX(Stock!$D$2:$D$13,MATCH(B63,Stock!$A$2:$A$13,0))</f>
        <v>0.99</v>
      </c>
      <c r="E63" s="21">
        <f t="shared" si="1"/>
        <v>3.96</v>
      </c>
    </row>
    <row r="64" spans="1:5" x14ac:dyDescent="0.25">
      <c r="A64" s="20">
        <v>46240</v>
      </c>
      <c r="B64" s="14" t="s">
        <v>33</v>
      </c>
      <c r="C64" s="14">
        <v>1</v>
      </c>
      <c r="D64" s="21">
        <f>INDEX(Stock!$D$2:$D$13,MATCH(B64,Stock!$A$2:$A$13,0))</f>
        <v>2</v>
      </c>
      <c r="E64" s="21">
        <f t="shared" si="1"/>
        <v>2</v>
      </c>
    </row>
    <row r="65" spans="1:5" x14ac:dyDescent="0.25">
      <c r="A65" s="20">
        <v>46240</v>
      </c>
      <c r="B65" s="14" t="s">
        <v>34</v>
      </c>
      <c r="C65" s="14">
        <v>4</v>
      </c>
      <c r="D65" s="21">
        <f>INDEX(Stock!$D$2:$D$13,MATCH(B65,Stock!$A$2:$A$13,0))</f>
        <v>2.6</v>
      </c>
      <c r="E65" s="21">
        <f t="shared" si="1"/>
        <v>10.4</v>
      </c>
    </row>
    <row r="66" spans="1:5" x14ac:dyDescent="0.25">
      <c r="A66" s="20">
        <v>46241</v>
      </c>
      <c r="B66" s="14" t="s">
        <v>31</v>
      </c>
      <c r="C66" s="14">
        <v>2</v>
      </c>
      <c r="D66" s="21">
        <f>INDEX(Stock!$D$2:$D$13,MATCH(B66,Stock!$A$2:$A$13,0))</f>
        <v>1.2</v>
      </c>
      <c r="E66" s="21">
        <f t="shared" ref="E66:E97" si="2">C66*D66</f>
        <v>2.4</v>
      </c>
    </row>
    <row r="67" spans="1:5" x14ac:dyDescent="0.25">
      <c r="A67" s="20">
        <v>46242</v>
      </c>
      <c r="B67" s="14" t="s">
        <v>30</v>
      </c>
      <c r="C67" s="14">
        <v>3</v>
      </c>
      <c r="D67" s="21">
        <f>INDEX(Stock!$D$2:$D$13,MATCH(B67,Stock!$A$2:$A$13,0))</f>
        <v>3.3</v>
      </c>
      <c r="E67" s="21">
        <f t="shared" si="2"/>
        <v>9.8999999999999986</v>
      </c>
    </row>
    <row r="68" spans="1:5" x14ac:dyDescent="0.25">
      <c r="A68" s="20">
        <v>46242</v>
      </c>
      <c r="B68" s="14" t="s">
        <v>36</v>
      </c>
      <c r="C68" s="14">
        <v>1</v>
      </c>
      <c r="D68" s="21">
        <f>INDEX(Stock!$D$2:$D$13,MATCH(B68,Stock!$A$2:$A$13,0))</f>
        <v>1.05</v>
      </c>
      <c r="E68" s="21">
        <f t="shared" si="2"/>
        <v>1.05</v>
      </c>
    </row>
    <row r="69" spans="1:5" x14ac:dyDescent="0.25">
      <c r="A69" s="20">
        <v>46243</v>
      </c>
      <c r="B69" s="14" t="s">
        <v>35</v>
      </c>
      <c r="C69" s="14">
        <v>5</v>
      </c>
      <c r="D69" s="21">
        <f>INDEX(Stock!$D$2:$D$13,MATCH(B69,Stock!$A$2:$A$13,0))</f>
        <v>1.9</v>
      </c>
      <c r="E69" s="21">
        <f t="shared" si="2"/>
        <v>9.5</v>
      </c>
    </row>
    <row r="70" spans="1:5" x14ac:dyDescent="0.25">
      <c r="A70" s="20">
        <v>46244</v>
      </c>
      <c r="B70" s="14" t="s">
        <v>40</v>
      </c>
      <c r="C70" s="14">
        <v>5</v>
      </c>
      <c r="D70" s="21">
        <f>INDEX(Stock!$D$2:$D$13,MATCH(B70,Stock!$A$2:$A$13,0))</f>
        <v>1.5</v>
      </c>
      <c r="E70" s="21">
        <f t="shared" si="2"/>
        <v>7.5</v>
      </c>
    </row>
    <row r="71" spans="1:5" x14ac:dyDescent="0.25">
      <c r="A71" s="20">
        <v>46245</v>
      </c>
      <c r="B71" s="14" t="s">
        <v>29</v>
      </c>
      <c r="C71" s="14">
        <v>2</v>
      </c>
      <c r="D71" s="21">
        <f>INDEX(Stock!$D$2:$D$13,MATCH(B71,Stock!$A$2:$A$13,0))</f>
        <v>1.65</v>
      </c>
      <c r="E71" s="21">
        <f t="shared" si="2"/>
        <v>3.3</v>
      </c>
    </row>
    <row r="72" spans="1:5" x14ac:dyDescent="0.25">
      <c r="A72" s="20">
        <v>46246</v>
      </c>
      <c r="B72" s="14" t="s">
        <v>33</v>
      </c>
      <c r="C72" s="14">
        <v>6</v>
      </c>
      <c r="D72" s="21">
        <f>INDEX(Stock!$D$2:$D$13,MATCH(B72,Stock!$A$2:$A$13,0))</f>
        <v>2</v>
      </c>
      <c r="E72" s="21">
        <f t="shared" si="2"/>
        <v>12</v>
      </c>
    </row>
    <row r="73" spans="1:5" x14ac:dyDescent="0.25">
      <c r="A73" s="20">
        <v>46246</v>
      </c>
      <c r="B73" s="14" t="s">
        <v>31</v>
      </c>
      <c r="C73" s="14">
        <v>3</v>
      </c>
      <c r="D73" s="21">
        <f>INDEX(Stock!$D$2:$D$13,MATCH(B73,Stock!$A$2:$A$13,0))</f>
        <v>1.2</v>
      </c>
      <c r="E73" s="21">
        <f t="shared" si="2"/>
        <v>3.5999999999999996</v>
      </c>
    </row>
    <row r="74" spans="1:5" x14ac:dyDescent="0.25">
      <c r="A74" s="20">
        <v>46246</v>
      </c>
      <c r="B74" s="14" t="s">
        <v>36</v>
      </c>
      <c r="C74" s="14">
        <v>4</v>
      </c>
      <c r="D74" s="21">
        <f>INDEX(Stock!$D$2:$D$13,MATCH(B74,Stock!$A$2:$A$13,0))</f>
        <v>1.05</v>
      </c>
      <c r="E74" s="21">
        <f t="shared" si="2"/>
        <v>4.2</v>
      </c>
    </row>
    <row r="75" spans="1:5" x14ac:dyDescent="0.25">
      <c r="A75" s="20">
        <v>46247</v>
      </c>
      <c r="B75" s="14" t="s">
        <v>30</v>
      </c>
      <c r="C75" s="14">
        <v>4</v>
      </c>
      <c r="D75" s="21">
        <f>INDEX(Stock!$D$2:$D$13,MATCH(B75,Stock!$A$2:$A$13,0))</f>
        <v>3.3</v>
      </c>
      <c r="E75" s="21">
        <f t="shared" si="2"/>
        <v>13.2</v>
      </c>
    </row>
    <row r="76" spans="1:5" x14ac:dyDescent="0.25">
      <c r="A76" s="20">
        <v>46248</v>
      </c>
      <c r="B76" s="14" t="s">
        <v>34</v>
      </c>
      <c r="C76" s="14">
        <v>3</v>
      </c>
      <c r="D76" s="21">
        <f>INDEX(Stock!$D$2:$D$13,MATCH(B76,Stock!$A$2:$A$13,0))</f>
        <v>2.6</v>
      </c>
      <c r="E76" s="21">
        <f t="shared" si="2"/>
        <v>7.8000000000000007</v>
      </c>
    </row>
    <row r="77" spans="1:5" x14ac:dyDescent="0.25">
      <c r="A77" s="20">
        <v>46248</v>
      </c>
      <c r="B77" s="14" t="s">
        <v>29</v>
      </c>
      <c r="C77" s="14">
        <v>1</v>
      </c>
      <c r="D77" s="21">
        <f>INDEX(Stock!$D$2:$D$13,MATCH(B77,Stock!$A$2:$A$13,0))</f>
        <v>1.65</v>
      </c>
      <c r="E77" s="21">
        <f t="shared" si="2"/>
        <v>1.65</v>
      </c>
    </row>
    <row r="78" spans="1:5" x14ac:dyDescent="0.25">
      <c r="A78" s="20">
        <v>46249</v>
      </c>
      <c r="B78" s="14" t="s">
        <v>32</v>
      </c>
      <c r="C78" s="14">
        <v>3</v>
      </c>
      <c r="D78" s="21">
        <f>INDEX(Stock!$D$2:$D$13,MATCH(B78,Stock!$A$2:$A$13,0))</f>
        <v>2.2000000000000002</v>
      </c>
      <c r="E78" s="21">
        <f t="shared" si="2"/>
        <v>6.6000000000000005</v>
      </c>
    </row>
    <row r="79" spans="1:5" x14ac:dyDescent="0.25">
      <c r="A79" s="20">
        <v>46249</v>
      </c>
      <c r="B79" s="14" t="s">
        <v>34</v>
      </c>
      <c r="C79" s="14">
        <v>6</v>
      </c>
      <c r="D79" s="21">
        <f>INDEX(Stock!$D$2:$D$13,MATCH(B79,Stock!$A$2:$A$13,0))</f>
        <v>2.6</v>
      </c>
      <c r="E79" s="21">
        <f t="shared" si="2"/>
        <v>15.600000000000001</v>
      </c>
    </row>
    <row r="80" spans="1:5" x14ac:dyDescent="0.25">
      <c r="A80" s="20">
        <v>46249</v>
      </c>
      <c r="B80" s="14" t="s">
        <v>30</v>
      </c>
      <c r="C80" s="14">
        <v>1</v>
      </c>
      <c r="D80" s="21">
        <f>INDEX(Stock!$D$2:$D$13,MATCH(B80,Stock!$A$2:$A$13,0))</f>
        <v>3.3</v>
      </c>
      <c r="E80" s="21">
        <f t="shared" si="2"/>
        <v>3.3</v>
      </c>
    </row>
    <row r="81" spans="1:5" x14ac:dyDescent="0.25">
      <c r="A81" s="20">
        <v>46250</v>
      </c>
      <c r="B81" s="14" t="s">
        <v>40</v>
      </c>
      <c r="C81" s="14">
        <v>5</v>
      </c>
      <c r="D81" s="21">
        <f>INDEX(Stock!$D$2:$D$13,MATCH(B81,Stock!$A$2:$A$13,0))</f>
        <v>1.5</v>
      </c>
      <c r="E81" s="21">
        <f t="shared" si="2"/>
        <v>7.5</v>
      </c>
    </row>
    <row r="82" spans="1:5" x14ac:dyDescent="0.25">
      <c r="A82" s="20">
        <v>46251</v>
      </c>
      <c r="B82" s="14" t="s">
        <v>30</v>
      </c>
      <c r="C82" s="14">
        <v>5</v>
      </c>
      <c r="D82" s="21">
        <f>INDEX(Stock!$D$2:$D$13,MATCH(B82,Stock!$A$2:$A$13,0))</f>
        <v>3.3</v>
      </c>
      <c r="E82" s="21">
        <f t="shared" si="2"/>
        <v>16.5</v>
      </c>
    </row>
    <row r="83" spans="1:5" x14ac:dyDescent="0.25">
      <c r="A83" s="20">
        <v>46251</v>
      </c>
      <c r="B83" s="14" t="s">
        <v>39</v>
      </c>
      <c r="C83" s="14">
        <v>5</v>
      </c>
      <c r="D83" s="21">
        <f>INDEX(Stock!$D$2:$D$13,MATCH(B83,Stock!$A$2:$A$13,0))</f>
        <v>0.99</v>
      </c>
      <c r="E83" s="21">
        <f t="shared" si="2"/>
        <v>4.95</v>
      </c>
    </row>
    <row r="84" spans="1:5" x14ac:dyDescent="0.25">
      <c r="A84" s="20">
        <v>46252</v>
      </c>
      <c r="B84" s="14" t="s">
        <v>40</v>
      </c>
      <c r="C84" s="14">
        <v>1</v>
      </c>
      <c r="D84" s="21">
        <f>INDEX(Stock!$D$2:$D$13,MATCH(B84,Stock!$A$2:$A$13,0))</f>
        <v>1.5</v>
      </c>
      <c r="E84" s="21">
        <f t="shared" si="2"/>
        <v>1.5</v>
      </c>
    </row>
    <row r="85" spans="1:5" x14ac:dyDescent="0.25">
      <c r="A85" s="20">
        <v>46252</v>
      </c>
      <c r="B85" s="14" t="s">
        <v>38</v>
      </c>
      <c r="C85" s="14">
        <v>3</v>
      </c>
      <c r="D85" s="21">
        <f>INDEX(Stock!$D$2:$D$13,MATCH(B85,Stock!$A$2:$A$13,0))</f>
        <v>2.4</v>
      </c>
      <c r="E85" s="21">
        <f t="shared" si="2"/>
        <v>7.1999999999999993</v>
      </c>
    </row>
    <row r="86" spans="1:5" x14ac:dyDescent="0.25">
      <c r="A86" s="20">
        <v>46253</v>
      </c>
      <c r="B86" s="14" t="s">
        <v>33</v>
      </c>
      <c r="C86" s="14">
        <v>2</v>
      </c>
      <c r="D86" s="21">
        <f>INDEX(Stock!$D$2:$D$13,MATCH(B86,Stock!$A$2:$A$13,0))</f>
        <v>2</v>
      </c>
      <c r="E86" s="21">
        <f t="shared" si="2"/>
        <v>4</v>
      </c>
    </row>
    <row r="87" spans="1:5" x14ac:dyDescent="0.25">
      <c r="A87" s="20">
        <v>46253</v>
      </c>
      <c r="B87" s="14" t="s">
        <v>33</v>
      </c>
      <c r="C87" s="14">
        <v>2</v>
      </c>
      <c r="D87" s="21">
        <f>INDEX(Stock!$D$2:$D$13,MATCH(B87,Stock!$A$2:$A$13,0))</f>
        <v>2</v>
      </c>
      <c r="E87" s="21">
        <f t="shared" si="2"/>
        <v>4</v>
      </c>
    </row>
    <row r="88" spans="1:5" x14ac:dyDescent="0.25">
      <c r="A88" s="20">
        <v>46253</v>
      </c>
      <c r="B88" s="14" t="s">
        <v>35</v>
      </c>
      <c r="C88" s="14">
        <v>5</v>
      </c>
      <c r="D88" s="21">
        <f>INDEX(Stock!$D$2:$D$13,MATCH(B88,Stock!$A$2:$A$13,0))</f>
        <v>1.9</v>
      </c>
      <c r="E88" s="21">
        <f t="shared" si="2"/>
        <v>9.5</v>
      </c>
    </row>
    <row r="89" spans="1:5" x14ac:dyDescent="0.25">
      <c r="A89" s="20">
        <v>46254</v>
      </c>
      <c r="B89" s="14" t="s">
        <v>37</v>
      </c>
      <c r="C89" s="14">
        <v>5</v>
      </c>
      <c r="D89" s="21">
        <f>INDEX(Stock!$D$2:$D$13,MATCH(B89,Stock!$A$2:$A$13,0))</f>
        <v>1.95</v>
      </c>
      <c r="E89" s="21">
        <f t="shared" si="2"/>
        <v>9.75</v>
      </c>
    </row>
    <row r="90" spans="1:5" x14ac:dyDescent="0.25">
      <c r="A90" s="20">
        <v>46254</v>
      </c>
      <c r="B90" s="14" t="s">
        <v>39</v>
      </c>
      <c r="C90" s="14">
        <v>2</v>
      </c>
      <c r="D90" s="21">
        <f>INDEX(Stock!$D$2:$D$13,MATCH(B90,Stock!$A$2:$A$13,0))</f>
        <v>0.99</v>
      </c>
      <c r="E90" s="21">
        <f t="shared" si="2"/>
        <v>1.98</v>
      </c>
    </row>
    <row r="91" spans="1:5" x14ac:dyDescent="0.25">
      <c r="A91" s="20">
        <v>46255</v>
      </c>
      <c r="B91" s="14" t="s">
        <v>39</v>
      </c>
      <c r="C91" s="14">
        <v>6</v>
      </c>
      <c r="D91" s="21">
        <f>INDEX(Stock!$D$2:$D$13,MATCH(B91,Stock!$A$2:$A$13,0))</f>
        <v>0.99</v>
      </c>
      <c r="E91" s="21">
        <f t="shared" si="2"/>
        <v>5.9399999999999995</v>
      </c>
    </row>
    <row r="92" spans="1:5" x14ac:dyDescent="0.25">
      <c r="A92" s="20">
        <v>46256</v>
      </c>
      <c r="B92" s="14" t="s">
        <v>31</v>
      </c>
      <c r="C92" s="14">
        <v>4</v>
      </c>
      <c r="D92" s="21">
        <f>INDEX(Stock!$D$2:$D$13,MATCH(B92,Stock!$A$2:$A$13,0))</f>
        <v>1.2</v>
      </c>
      <c r="E92" s="21">
        <f t="shared" si="2"/>
        <v>4.8</v>
      </c>
    </row>
    <row r="93" spans="1:5" x14ac:dyDescent="0.25">
      <c r="A93" s="20">
        <v>46257</v>
      </c>
      <c r="B93" s="14" t="s">
        <v>38</v>
      </c>
      <c r="C93" s="14">
        <v>1</v>
      </c>
      <c r="D93" s="21">
        <f>INDEX(Stock!$D$2:$D$13,MATCH(B93,Stock!$A$2:$A$13,0))</f>
        <v>2.4</v>
      </c>
      <c r="E93" s="21">
        <f t="shared" si="2"/>
        <v>2.4</v>
      </c>
    </row>
    <row r="94" spans="1:5" x14ac:dyDescent="0.25">
      <c r="A94" s="20">
        <v>46257</v>
      </c>
      <c r="B94" s="14" t="s">
        <v>39</v>
      </c>
      <c r="C94" s="14">
        <v>4</v>
      </c>
      <c r="D94" s="21">
        <f>INDEX(Stock!$D$2:$D$13,MATCH(B94,Stock!$A$2:$A$13,0))</f>
        <v>0.99</v>
      </c>
      <c r="E94" s="21">
        <f t="shared" si="2"/>
        <v>3.96</v>
      </c>
    </row>
    <row r="95" spans="1:5" x14ac:dyDescent="0.25">
      <c r="A95" s="20">
        <v>46258</v>
      </c>
      <c r="B95" s="14" t="s">
        <v>31</v>
      </c>
      <c r="C95" s="14">
        <v>5</v>
      </c>
      <c r="D95" s="21">
        <f>INDEX(Stock!$D$2:$D$13,MATCH(B95,Stock!$A$2:$A$13,0))</f>
        <v>1.2</v>
      </c>
      <c r="E95" s="21">
        <f t="shared" si="2"/>
        <v>6</v>
      </c>
    </row>
    <row r="96" spans="1:5" x14ac:dyDescent="0.25">
      <c r="A96" s="20">
        <v>46258</v>
      </c>
      <c r="B96" s="14" t="s">
        <v>40</v>
      </c>
      <c r="C96" s="14">
        <v>4</v>
      </c>
      <c r="D96" s="21">
        <f>INDEX(Stock!$D$2:$D$13,MATCH(B96,Stock!$A$2:$A$13,0))</f>
        <v>1.5</v>
      </c>
      <c r="E96" s="21">
        <f t="shared" si="2"/>
        <v>6</v>
      </c>
    </row>
    <row r="97" spans="1:5" x14ac:dyDescent="0.25">
      <c r="A97" s="20">
        <v>46259</v>
      </c>
      <c r="B97" s="14" t="s">
        <v>40</v>
      </c>
      <c r="C97" s="14">
        <v>3</v>
      </c>
      <c r="D97" s="21">
        <f>INDEX(Stock!$D$2:$D$13,MATCH(B97,Stock!$A$2:$A$13,0))</f>
        <v>1.5</v>
      </c>
      <c r="E97" s="21">
        <f t="shared" si="2"/>
        <v>4.5</v>
      </c>
    </row>
    <row r="98" spans="1:5" x14ac:dyDescent="0.25">
      <c r="A98" s="20">
        <v>46259</v>
      </c>
      <c r="B98" s="14" t="s">
        <v>29</v>
      </c>
      <c r="C98" s="14">
        <v>1</v>
      </c>
      <c r="D98" s="21">
        <f>INDEX(Stock!$D$2:$D$13,MATCH(B98,Stock!$A$2:$A$13,0))</f>
        <v>1.65</v>
      </c>
      <c r="E98" s="21">
        <f t="shared" ref="E98:E129" si="3">C98*D98</f>
        <v>1.65</v>
      </c>
    </row>
    <row r="99" spans="1:5" x14ac:dyDescent="0.25">
      <c r="A99" s="20">
        <v>46259</v>
      </c>
      <c r="B99" s="14" t="s">
        <v>31</v>
      </c>
      <c r="C99" s="14">
        <v>2</v>
      </c>
      <c r="D99" s="21">
        <f>INDEX(Stock!$D$2:$D$13,MATCH(B99,Stock!$A$2:$A$13,0))</f>
        <v>1.2</v>
      </c>
      <c r="E99" s="21">
        <f t="shared" si="3"/>
        <v>2.4</v>
      </c>
    </row>
    <row r="100" spans="1:5" x14ac:dyDescent="0.25">
      <c r="A100" s="20">
        <v>46260</v>
      </c>
      <c r="B100" s="14" t="s">
        <v>31</v>
      </c>
      <c r="C100" s="14">
        <v>5</v>
      </c>
      <c r="D100" s="21">
        <f>INDEX(Stock!$D$2:$D$13,MATCH(B100,Stock!$A$2:$A$13,0))</f>
        <v>1.2</v>
      </c>
      <c r="E100" s="21">
        <f t="shared" si="3"/>
        <v>6</v>
      </c>
    </row>
    <row r="101" spans="1:5" x14ac:dyDescent="0.25">
      <c r="A101" s="20">
        <v>46260</v>
      </c>
      <c r="B101" s="14" t="s">
        <v>40</v>
      </c>
      <c r="C101" s="14">
        <v>5</v>
      </c>
      <c r="D101" s="21">
        <f>INDEX(Stock!$D$2:$D$13,MATCH(B101,Stock!$A$2:$A$13,0))</f>
        <v>1.5</v>
      </c>
      <c r="E101" s="21">
        <f t="shared" si="3"/>
        <v>7.5</v>
      </c>
    </row>
    <row r="102" spans="1:5" x14ac:dyDescent="0.25">
      <c r="A102" s="20">
        <v>46261</v>
      </c>
      <c r="B102" s="14" t="s">
        <v>34</v>
      </c>
      <c r="C102" s="14">
        <v>6</v>
      </c>
      <c r="D102" s="21">
        <f>INDEX(Stock!$D$2:$D$13,MATCH(B102,Stock!$A$2:$A$13,0))</f>
        <v>2.6</v>
      </c>
      <c r="E102" s="21">
        <f t="shared" si="3"/>
        <v>15.600000000000001</v>
      </c>
    </row>
    <row r="103" spans="1:5" x14ac:dyDescent="0.25">
      <c r="A103" s="20">
        <v>46262</v>
      </c>
      <c r="B103" s="14" t="s">
        <v>39</v>
      </c>
      <c r="C103" s="14">
        <v>1</v>
      </c>
      <c r="D103" s="21">
        <f>INDEX(Stock!$D$2:$D$13,MATCH(B103,Stock!$A$2:$A$13,0))</f>
        <v>0.99</v>
      </c>
      <c r="E103" s="21">
        <f t="shared" si="3"/>
        <v>0.99</v>
      </c>
    </row>
    <row r="104" spans="1:5" x14ac:dyDescent="0.25">
      <c r="A104" s="20">
        <v>46262</v>
      </c>
      <c r="B104" s="14" t="s">
        <v>39</v>
      </c>
      <c r="C104" s="14">
        <v>1</v>
      </c>
      <c r="D104" s="21">
        <f>INDEX(Stock!$D$2:$D$13,MATCH(B104,Stock!$A$2:$A$13,0))</f>
        <v>0.99</v>
      </c>
      <c r="E104" s="21">
        <f t="shared" si="3"/>
        <v>0.99</v>
      </c>
    </row>
    <row r="105" spans="1:5" x14ac:dyDescent="0.25">
      <c r="A105" s="20">
        <v>46263</v>
      </c>
      <c r="B105" s="14" t="s">
        <v>38</v>
      </c>
      <c r="C105" s="14">
        <v>2</v>
      </c>
      <c r="D105" s="21">
        <f>INDEX(Stock!$D$2:$D$13,MATCH(B105,Stock!$A$2:$A$13,0))</f>
        <v>2.4</v>
      </c>
      <c r="E105" s="21">
        <f t="shared" si="3"/>
        <v>4.8</v>
      </c>
    </row>
    <row r="106" spans="1:5" x14ac:dyDescent="0.25">
      <c r="A106" s="20">
        <v>46263</v>
      </c>
      <c r="B106" s="14" t="s">
        <v>34</v>
      </c>
      <c r="C106" s="14">
        <v>2</v>
      </c>
      <c r="D106" s="21">
        <f>INDEX(Stock!$D$2:$D$13,MATCH(B106,Stock!$A$2:$A$13,0))</f>
        <v>2.6</v>
      </c>
      <c r="E106" s="21">
        <f t="shared" si="3"/>
        <v>5.2</v>
      </c>
    </row>
    <row r="107" spans="1:5" x14ac:dyDescent="0.25">
      <c r="A107" s="20">
        <v>46264</v>
      </c>
      <c r="B107" s="14" t="s">
        <v>39</v>
      </c>
      <c r="C107" s="14">
        <v>3</v>
      </c>
      <c r="D107" s="21">
        <f>INDEX(Stock!$D$2:$D$13,MATCH(B107,Stock!$A$2:$A$13,0))</f>
        <v>0.99</v>
      </c>
      <c r="E107" s="21">
        <f t="shared" si="3"/>
        <v>2.9699999999999998</v>
      </c>
    </row>
    <row r="108" spans="1:5" x14ac:dyDescent="0.25">
      <c r="A108" s="20">
        <v>46264</v>
      </c>
      <c r="B108" s="14" t="s">
        <v>29</v>
      </c>
      <c r="C108" s="14">
        <v>6</v>
      </c>
      <c r="D108" s="21">
        <f>INDEX(Stock!$D$2:$D$13,MATCH(B108,Stock!$A$2:$A$13,0))</f>
        <v>1.65</v>
      </c>
      <c r="E108" s="21">
        <f t="shared" si="3"/>
        <v>9.8999999999999986</v>
      </c>
    </row>
    <row r="109" spans="1:5" x14ac:dyDescent="0.25">
      <c r="A109" s="20">
        <v>46265</v>
      </c>
      <c r="B109" s="14" t="s">
        <v>34</v>
      </c>
      <c r="C109" s="14">
        <v>6</v>
      </c>
      <c r="D109" s="21">
        <f>INDEX(Stock!$D$2:$D$13,MATCH(B109,Stock!$A$2:$A$13,0))</f>
        <v>2.6</v>
      </c>
      <c r="E109" s="21">
        <f t="shared" si="3"/>
        <v>15.600000000000001</v>
      </c>
    </row>
    <row r="110" spans="1:5" x14ac:dyDescent="0.25">
      <c r="A110" s="20">
        <v>46265</v>
      </c>
      <c r="B110" s="14" t="s">
        <v>40</v>
      </c>
      <c r="C110" s="14">
        <v>6</v>
      </c>
      <c r="D110" s="21">
        <f>INDEX(Stock!$D$2:$D$13,MATCH(B110,Stock!$A$2:$A$13,0))</f>
        <v>1.5</v>
      </c>
      <c r="E110" s="21">
        <f t="shared" si="3"/>
        <v>9</v>
      </c>
    </row>
    <row r="111" spans="1:5" x14ac:dyDescent="0.25">
      <c r="A111" s="20">
        <v>46266</v>
      </c>
      <c r="B111" s="14" t="s">
        <v>31</v>
      </c>
      <c r="C111" s="14">
        <v>2</v>
      </c>
      <c r="D111" s="21">
        <f>INDEX(Stock!$D$2:$D$13,MATCH(B111,Stock!$A$2:$A$13,0))</f>
        <v>1.2</v>
      </c>
      <c r="E111" s="21">
        <f t="shared" si="3"/>
        <v>2.4</v>
      </c>
    </row>
    <row r="112" spans="1:5" x14ac:dyDescent="0.25">
      <c r="A112" s="20">
        <v>46267</v>
      </c>
      <c r="B112" s="14" t="s">
        <v>30</v>
      </c>
      <c r="C112" s="14">
        <v>4</v>
      </c>
      <c r="D112" s="21">
        <f>INDEX(Stock!$D$2:$D$13,MATCH(B112,Stock!$A$2:$A$13,0))</f>
        <v>3.3</v>
      </c>
      <c r="E112" s="21">
        <f t="shared" si="3"/>
        <v>13.2</v>
      </c>
    </row>
    <row r="113" spans="1:5" x14ac:dyDescent="0.25">
      <c r="A113" s="20">
        <v>46268</v>
      </c>
      <c r="B113" s="14" t="s">
        <v>30</v>
      </c>
      <c r="C113" s="14">
        <v>5</v>
      </c>
      <c r="D113" s="21">
        <f>INDEX(Stock!$D$2:$D$13,MATCH(B113,Stock!$A$2:$A$13,0))</f>
        <v>3.3</v>
      </c>
      <c r="E113" s="21">
        <f t="shared" si="3"/>
        <v>16.5</v>
      </c>
    </row>
    <row r="114" spans="1:5" x14ac:dyDescent="0.25">
      <c r="A114" s="20">
        <v>46268</v>
      </c>
      <c r="B114" s="14" t="s">
        <v>40</v>
      </c>
      <c r="C114" s="14">
        <v>6</v>
      </c>
      <c r="D114" s="21">
        <f>INDEX(Stock!$D$2:$D$13,MATCH(B114,Stock!$A$2:$A$13,0))</f>
        <v>1.5</v>
      </c>
      <c r="E114" s="21">
        <f t="shared" si="3"/>
        <v>9</v>
      </c>
    </row>
    <row r="115" spans="1:5" x14ac:dyDescent="0.25">
      <c r="A115" s="20">
        <v>46268</v>
      </c>
      <c r="B115" s="14" t="s">
        <v>40</v>
      </c>
      <c r="C115" s="14">
        <v>2</v>
      </c>
      <c r="D115" s="21">
        <f>INDEX(Stock!$D$2:$D$13,MATCH(B115,Stock!$A$2:$A$13,0))</f>
        <v>1.5</v>
      </c>
      <c r="E115" s="21">
        <f t="shared" si="3"/>
        <v>3</v>
      </c>
    </row>
    <row r="116" spans="1:5" x14ac:dyDescent="0.25">
      <c r="A116" s="20">
        <v>46269</v>
      </c>
      <c r="B116" s="14" t="s">
        <v>35</v>
      </c>
      <c r="C116" s="14">
        <v>1</v>
      </c>
      <c r="D116" s="21">
        <f>INDEX(Stock!$D$2:$D$13,MATCH(B116,Stock!$A$2:$A$13,0))</f>
        <v>1.9</v>
      </c>
      <c r="E116" s="21">
        <f t="shared" si="3"/>
        <v>1.9</v>
      </c>
    </row>
    <row r="117" spans="1:5" x14ac:dyDescent="0.25">
      <c r="A117" s="20">
        <v>46269</v>
      </c>
      <c r="B117" s="14" t="s">
        <v>29</v>
      </c>
      <c r="C117" s="14">
        <v>6</v>
      </c>
      <c r="D117" s="21">
        <f>INDEX(Stock!$D$2:$D$13,MATCH(B117,Stock!$A$2:$A$13,0))</f>
        <v>1.65</v>
      </c>
      <c r="E117" s="21">
        <f t="shared" si="3"/>
        <v>9.8999999999999986</v>
      </c>
    </row>
    <row r="118" spans="1:5" x14ac:dyDescent="0.25">
      <c r="A118" s="20">
        <v>46269</v>
      </c>
      <c r="B118" s="14" t="s">
        <v>37</v>
      </c>
      <c r="C118" s="14">
        <v>5</v>
      </c>
      <c r="D118" s="21">
        <f>INDEX(Stock!$D$2:$D$13,MATCH(B118,Stock!$A$2:$A$13,0))</f>
        <v>1.95</v>
      </c>
      <c r="E118" s="21">
        <f t="shared" si="3"/>
        <v>9.75</v>
      </c>
    </row>
    <row r="119" spans="1:5" x14ac:dyDescent="0.25">
      <c r="A119" s="20">
        <v>46270</v>
      </c>
      <c r="B119" s="14" t="s">
        <v>39</v>
      </c>
      <c r="C119" s="14">
        <v>4</v>
      </c>
      <c r="D119" s="21">
        <f>INDEX(Stock!$D$2:$D$13,MATCH(B119,Stock!$A$2:$A$13,0))</f>
        <v>0.99</v>
      </c>
      <c r="E119" s="21">
        <f t="shared" si="3"/>
        <v>3.96</v>
      </c>
    </row>
    <row r="120" spans="1:5" x14ac:dyDescent="0.25">
      <c r="A120" s="20">
        <v>46270</v>
      </c>
      <c r="B120" s="14" t="s">
        <v>40</v>
      </c>
      <c r="C120" s="14">
        <v>2</v>
      </c>
      <c r="D120" s="21">
        <f>INDEX(Stock!$D$2:$D$13,MATCH(B120,Stock!$A$2:$A$13,0))</f>
        <v>1.5</v>
      </c>
      <c r="E120" s="21">
        <f t="shared" si="3"/>
        <v>3</v>
      </c>
    </row>
    <row r="121" spans="1:5" x14ac:dyDescent="0.25">
      <c r="A121" s="20">
        <v>46270</v>
      </c>
      <c r="B121" s="14" t="s">
        <v>39</v>
      </c>
      <c r="C121" s="14">
        <v>2</v>
      </c>
      <c r="D121" s="21">
        <f>INDEX(Stock!$D$2:$D$13,MATCH(B121,Stock!$A$2:$A$13,0))</f>
        <v>0.99</v>
      </c>
      <c r="E121" s="21">
        <f t="shared" si="3"/>
        <v>1.98</v>
      </c>
    </row>
    <row r="122" spans="1:5" x14ac:dyDescent="0.25">
      <c r="A122" s="20">
        <v>46271</v>
      </c>
      <c r="B122" s="14" t="s">
        <v>31</v>
      </c>
      <c r="C122" s="14">
        <v>3</v>
      </c>
      <c r="D122" s="21">
        <f>INDEX(Stock!$D$2:$D$13,MATCH(B122,Stock!$A$2:$A$13,0))</f>
        <v>1.2</v>
      </c>
      <c r="E122" s="21">
        <f t="shared" si="3"/>
        <v>3.5999999999999996</v>
      </c>
    </row>
    <row r="123" spans="1:5" x14ac:dyDescent="0.25">
      <c r="A123" s="20">
        <v>46272</v>
      </c>
      <c r="B123" s="14" t="s">
        <v>31</v>
      </c>
      <c r="C123" s="14">
        <v>5</v>
      </c>
      <c r="D123" s="21">
        <f>INDEX(Stock!$D$2:$D$13,MATCH(B123,Stock!$A$2:$A$13,0))</f>
        <v>1.2</v>
      </c>
      <c r="E123" s="21">
        <f t="shared" si="3"/>
        <v>6</v>
      </c>
    </row>
    <row r="124" spans="1:5" x14ac:dyDescent="0.25">
      <c r="A124" s="20">
        <v>46272</v>
      </c>
      <c r="B124" s="14" t="s">
        <v>32</v>
      </c>
      <c r="C124" s="14">
        <v>5</v>
      </c>
      <c r="D124" s="21">
        <f>INDEX(Stock!$D$2:$D$13,MATCH(B124,Stock!$A$2:$A$13,0))</f>
        <v>2.2000000000000002</v>
      </c>
      <c r="E124" s="21">
        <f t="shared" si="3"/>
        <v>11</v>
      </c>
    </row>
    <row r="125" spans="1:5" x14ac:dyDescent="0.25">
      <c r="A125" s="20">
        <v>46272</v>
      </c>
      <c r="B125" s="14" t="s">
        <v>33</v>
      </c>
      <c r="C125" s="14">
        <v>2</v>
      </c>
      <c r="D125" s="21">
        <f>INDEX(Stock!$D$2:$D$13,MATCH(B125,Stock!$A$2:$A$13,0))</f>
        <v>2</v>
      </c>
      <c r="E125" s="21">
        <f t="shared" si="3"/>
        <v>4</v>
      </c>
    </row>
    <row r="126" spans="1:5" x14ac:dyDescent="0.25">
      <c r="A126" s="20">
        <v>46273</v>
      </c>
      <c r="B126" s="14" t="s">
        <v>39</v>
      </c>
      <c r="C126" s="14">
        <v>3</v>
      </c>
      <c r="D126" s="21">
        <f>INDEX(Stock!$D$2:$D$13,MATCH(B126,Stock!$A$2:$A$13,0))</f>
        <v>0.99</v>
      </c>
      <c r="E126" s="21">
        <f t="shared" si="3"/>
        <v>2.9699999999999998</v>
      </c>
    </row>
    <row r="127" spans="1:5" x14ac:dyDescent="0.25">
      <c r="A127" s="20">
        <v>46274</v>
      </c>
      <c r="B127" s="14" t="s">
        <v>37</v>
      </c>
      <c r="C127" s="14">
        <v>5</v>
      </c>
      <c r="D127" s="21">
        <f>INDEX(Stock!$D$2:$D$13,MATCH(B127,Stock!$A$2:$A$13,0))</f>
        <v>1.95</v>
      </c>
      <c r="E127" s="21">
        <f t="shared" si="3"/>
        <v>9.75</v>
      </c>
    </row>
    <row r="128" spans="1:5" x14ac:dyDescent="0.25">
      <c r="A128" s="20">
        <v>46274</v>
      </c>
      <c r="B128" s="14" t="s">
        <v>33</v>
      </c>
      <c r="C128" s="14">
        <v>5</v>
      </c>
      <c r="D128" s="21">
        <f>INDEX(Stock!$D$2:$D$13,MATCH(B128,Stock!$A$2:$A$13,0))</f>
        <v>2</v>
      </c>
      <c r="E128" s="21">
        <f t="shared" si="3"/>
        <v>10</v>
      </c>
    </row>
    <row r="129" spans="1:5" x14ac:dyDescent="0.25">
      <c r="A129" s="20">
        <v>46275</v>
      </c>
      <c r="B129" s="14" t="s">
        <v>35</v>
      </c>
      <c r="C129" s="14">
        <v>5</v>
      </c>
      <c r="D129" s="21">
        <f>INDEX(Stock!$D$2:$D$13,MATCH(B129,Stock!$A$2:$A$13,0))</f>
        <v>1.9</v>
      </c>
      <c r="E129" s="21">
        <f t="shared" si="3"/>
        <v>9.5</v>
      </c>
    </row>
    <row r="130" spans="1:5" x14ac:dyDescent="0.25">
      <c r="A130" s="20">
        <v>46276</v>
      </c>
      <c r="B130" s="14" t="s">
        <v>29</v>
      </c>
      <c r="C130" s="14">
        <v>4</v>
      </c>
      <c r="D130" s="21">
        <f>INDEX(Stock!$D$2:$D$13,MATCH(B130,Stock!$A$2:$A$13,0))</f>
        <v>1.65</v>
      </c>
      <c r="E130" s="21">
        <f t="shared" ref="E130:E161" si="4">C130*D130</f>
        <v>6.6</v>
      </c>
    </row>
    <row r="131" spans="1:5" x14ac:dyDescent="0.25">
      <c r="A131" s="20">
        <v>46276</v>
      </c>
      <c r="B131" s="14" t="s">
        <v>38</v>
      </c>
      <c r="C131" s="14">
        <v>5</v>
      </c>
      <c r="D131" s="21">
        <f>INDEX(Stock!$D$2:$D$13,MATCH(B131,Stock!$A$2:$A$13,0))</f>
        <v>2.4</v>
      </c>
      <c r="E131" s="21">
        <f t="shared" si="4"/>
        <v>12</v>
      </c>
    </row>
    <row r="132" spans="1:5" x14ac:dyDescent="0.25">
      <c r="A132" s="20">
        <v>46276</v>
      </c>
      <c r="B132" s="14" t="s">
        <v>29</v>
      </c>
      <c r="C132" s="14">
        <v>2</v>
      </c>
      <c r="D132" s="21">
        <f>INDEX(Stock!$D$2:$D$13,MATCH(B132,Stock!$A$2:$A$13,0))</f>
        <v>1.65</v>
      </c>
      <c r="E132" s="21">
        <f t="shared" si="4"/>
        <v>3.3</v>
      </c>
    </row>
    <row r="133" spans="1:5" x14ac:dyDescent="0.25">
      <c r="A133" s="20">
        <v>46277</v>
      </c>
      <c r="B133" s="14" t="s">
        <v>30</v>
      </c>
      <c r="C133" s="14">
        <v>5</v>
      </c>
      <c r="D133" s="21">
        <f>INDEX(Stock!$D$2:$D$13,MATCH(B133,Stock!$A$2:$A$13,0))</f>
        <v>3.3</v>
      </c>
      <c r="E133" s="21">
        <f t="shared" si="4"/>
        <v>16.5</v>
      </c>
    </row>
    <row r="134" spans="1:5" x14ac:dyDescent="0.25">
      <c r="A134" s="20">
        <v>46278</v>
      </c>
      <c r="B134" s="14" t="s">
        <v>30</v>
      </c>
      <c r="C134" s="14">
        <v>1</v>
      </c>
      <c r="D134" s="21">
        <f>INDEX(Stock!$D$2:$D$13,MATCH(B134,Stock!$A$2:$A$13,0))</f>
        <v>3.3</v>
      </c>
      <c r="E134" s="21">
        <f t="shared" si="4"/>
        <v>3.3</v>
      </c>
    </row>
    <row r="135" spans="1:5" x14ac:dyDescent="0.25">
      <c r="A135" s="20">
        <v>46278</v>
      </c>
      <c r="B135" s="14" t="s">
        <v>32</v>
      </c>
      <c r="C135" s="14">
        <v>5</v>
      </c>
      <c r="D135" s="21">
        <f>INDEX(Stock!$D$2:$D$13,MATCH(B135,Stock!$A$2:$A$13,0))</f>
        <v>2.2000000000000002</v>
      </c>
      <c r="E135" s="21">
        <f t="shared" si="4"/>
        <v>11</v>
      </c>
    </row>
    <row r="136" spans="1:5" x14ac:dyDescent="0.25">
      <c r="A136" s="20">
        <v>46278</v>
      </c>
      <c r="B136" s="14" t="s">
        <v>35</v>
      </c>
      <c r="C136" s="14">
        <v>4</v>
      </c>
      <c r="D136" s="21">
        <f>INDEX(Stock!$D$2:$D$13,MATCH(B136,Stock!$A$2:$A$13,0))</f>
        <v>1.9</v>
      </c>
      <c r="E136" s="21">
        <f t="shared" si="4"/>
        <v>7.6</v>
      </c>
    </row>
    <row r="137" spans="1:5" x14ac:dyDescent="0.25">
      <c r="A137" s="20">
        <v>46279</v>
      </c>
      <c r="B137" s="14" t="s">
        <v>39</v>
      </c>
      <c r="C137" s="14">
        <v>1</v>
      </c>
      <c r="D137" s="21">
        <f>INDEX(Stock!$D$2:$D$13,MATCH(B137,Stock!$A$2:$A$13,0))</f>
        <v>0.99</v>
      </c>
      <c r="E137" s="21">
        <f t="shared" si="4"/>
        <v>0.99</v>
      </c>
    </row>
    <row r="138" spans="1:5" x14ac:dyDescent="0.25">
      <c r="A138" s="20">
        <v>46280</v>
      </c>
      <c r="B138" s="14" t="s">
        <v>31</v>
      </c>
      <c r="C138" s="14">
        <v>1</v>
      </c>
      <c r="D138" s="21">
        <f>INDEX(Stock!$D$2:$D$13,MATCH(B138,Stock!$A$2:$A$13,0))</f>
        <v>1.2</v>
      </c>
      <c r="E138" s="21">
        <f t="shared" si="4"/>
        <v>1.2</v>
      </c>
    </row>
    <row r="139" spans="1:5" x14ac:dyDescent="0.25">
      <c r="A139" s="20">
        <v>46281</v>
      </c>
      <c r="B139" s="14" t="s">
        <v>35</v>
      </c>
      <c r="C139" s="14">
        <v>5</v>
      </c>
      <c r="D139" s="21">
        <f>INDEX(Stock!$D$2:$D$13,MATCH(B139,Stock!$A$2:$A$13,0))</f>
        <v>1.9</v>
      </c>
      <c r="E139" s="21">
        <f t="shared" si="4"/>
        <v>9.5</v>
      </c>
    </row>
    <row r="140" spans="1:5" x14ac:dyDescent="0.25">
      <c r="A140" s="20">
        <v>46282</v>
      </c>
      <c r="B140" s="14" t="s">
        <v>38</v>
      </c>
      <c r="C140" s="14">
        <v>1</v>
      </c>
      <c r="D140" s="21">
        <f>INDEX(Stock!$D$2:$D$13,MATCH(B140,Stock!$A$2:$A$13,0))</f>
        <v>2.4</v>
      </c>
      <c r="E140" s="21">
        <f t="shared" si="4"/>
        <v>2.4</v>
      </c>
    </row>
    <row r="141" spans="1:5" x14ac:dyDescent="0.25">
      <c r="A141" s="20">
        <v>46283</v>
      </c>
      <c r="B141" s="14" t="s">
        <v>32</v>
      </c>
      <c r="C141" s="14">
        <v>5</v>
      </c>
      <c r="D141" s="21">
        <f>INDEX(Stock!$D$2:$D$13,MATCH(B141,Stock!$A$2:$A$13,0))</f>
        <v>2.2000000000000002</v>
      </c>
      <c r="E141" s="21">
        <f t="shared" si="4"/>
        <v>11</v>
      </c>
    </row>
    <row r="142" spans="1:5" x14ac:dyDescent="0.25">
      <c r="A142" s="20">
        <v>46283</v>
      </c>
      <c r="B142" s="14" t="s">
        <v>36</v>
      </c>
      <c r="C142" s="14">
        <v>2</v>
      </c>
      <c r="D142" s="21">
        <f>INDEX(Stock!$D$2:$D$13,MATCH(B142,Stock!$A$2:$A$13,0))</f>
        <v>1.05</v>
      </c>
      <c r="E142" s="21">
        <f t="shared" si="4"/>
        <v>2.1</v>
      </c>
    </row>
    <row r="143" spans="1:5" x14ac:dyDescent="0.25">
      <c r="A143" s="20">
        <v>46284</v>
      </c>
      <c r="B143" s="14" t="s">
        <v>31</v>
      </c>
      <c r="C143" s="14">
        <v>5</v>
      </c>
      <c r="D143" s="21">
        <f>INDEX(Stock!$D$2:$D$13,MATCH(B143,Stock!$A$2:$A$13,0))</f>
        <v>1.2</v>
      </c>
      <c r="E143" s="21">
        <f t="shared" si="4"/>
        <v>6</v>
      </c>
    </row>
    <row r="144" spans="1:5" x14ac:dyDescent="0.25">
      <c r="A144" s="20">
        <v>46284</v>
      </c>
      <c r="B144" s="14" t="s">
        <v>35</v>
      </c>
      <c r="C144" s="14">
        <v>4</v>
      </c>
      <c r="D144" s="21">
        <f>INDEX(Stock!$D$2:$D$13,MATCH(B144,Stock!$A$2:$A$13,0))</f>
        <v>1.9</v>
      </c>
      <c r="E144" s="21">
        <f t="shared" si="4"/>
        <v>7.6</v>
      </c>
    </row>
    <row r="145" spans="1:5" x14ac:dyDescent="0.25">
      <c r="A145" s="20">
        <v>46284</v>
      </c>
      <c r="B145" s="14" t="s">
        <v>35</v>
      </c>
      <c r="C145" s="14">
        <v>2</v>
      </c>
      <c r="D145" s="21">
        <f>INDEX(Stock!$D$2:$D$13,MATCH(B145,Stock!$A$2:$A$13,0))</f>
        <v>1.9</v>
      </c>
      <c r="E145" s="21">
        <f t="shared" si="4"/>
        <v>3.8</v>
      </c>
    </row>
    <row r="146" spans="1:5" x14ac:dyDescent="0.25">
      <c r="A146" s="20">
        <v>46285</v>
      </c>
      <c r="B146" s="14" t="s">
        <v>35</v>
      </c>
      <c r="C146" s="14">
        <v>3</v>
      </c>
      <c r="D146" s="21">
        <f>INDEX(Stock!$D$2:$D$13,MATCH(B146,Stock!$A$2:$A$13,0))</f>
        <v>1.9</v>
      </c>
      <c r="E146" s="21">
        <f t="shared" si="4"/>
        <v>5.6999999999999993</v>
      </c>
    </row>
    <row r="147" spans="1:5" x14ac:dyDescent="0.25">
      <c r="A147" s="20">
        <v>46285</v>
      </c>
      <c r="B147" s="14" t="s">
        <v>39</v>
      </c>
      <c r="C147" s="14">
        <v>2</v>
      </c>
      <c r="D147" s="21">
        <f>INDEX(Stock!$D$2:$D$13,MATCH(B147,Stock!$A$2:$A$13,0))</f>
        <v>0.99</v>
      </c>
      <c r="E147" s="21">
        <f t="shared" si="4"/>
        <v>1.98</v>
      </c>
    </row>
    <row r="148" spans="1:5" x14ac:dyDescent="0.25">
      <c r="A148" s="20">
        <v>46285</v>
      </c>
      <c r="B148" s="14" t="s">
        <v>39</v>
      </c>
      <c r="C148" s="14">
        <v>2</v>
      </c>
      <c r="D148" s="21">
        <f>INDEX(Stock!$D$2:$D$13,MATCH(B148,Stock!$A$2:$A$13,0))</f>
        <v>0.99</v>
      </c>
      <c r="E148" s="21">
        <f t="shared" si="4"/>
        <v>1.98</v>
      </c>
    </row>
    <row r="149" spans="1:5" x14ac:dyDescent="0.25">
      <c r="A149" s="20">
        <v>46286</v>
      </c>
      <c r="B149" s="14" t="s">
        <v>30</v>
      </c>
      <c r="C149" s="14">
        <v>4</v>
      </c>
      <c r="D149" s="21">
        <f>INDEX(Stock!$D$2:$D$13,MATCH(B149,Stock!$A$2:$A$13,0))</f>
        <v>3.3</v>
      </c>
      <c r="E149" s="21">
        <f t="shared" si="4"/>
        <v>13.2</v>
      </c>
    </row>
    <row r="150" spans="1:5" x14ac:dyDescent="0.25">
      <c r="A150" s="20">
        <v>46286</v>
      </c>
      <c r="B150" s="14" t="s">
        <v>32</v>
      </c>
      <c r="C150" s="14">
        <v>6</v>
      </c>
      <c r="D150" s="21">
        <f>INDEX(Stock!$D$2:$D$13,MATCH(B150,Stock!$A$2:$A$13,0))</f>
        <v>2.2000000000000002</v>
      </c>
      <c r="E150" s="21">
        <f t="shared" si="4"/>
        <v>13.200000000000001</v>
      </c>
    </row>
    <row r="151" spans="1:5" x14ac:dyDescent="0.25">
      <c r="A151" s="20">
        <v>46287</v>
      </c>
      <c r="B151" s="14" t="s">
        <v>33</v>
      </c>
      <c r="C151" s="14">
        <v>2</v>
      </c>
      <c r="D151" s="21">
        <f>INDEX(Stock!$D$2:$D$13,MATCH(B151,Stock!$A$2:$A$13,0))</f>
        <v>2</v>
      </c>
      <c r="E151" s="21">
        <f t="shared" si="4"/>
        <v>4</v>
      </c>
    </row>
    <row r="152" spans="1:5" x14ac:dyDescent="0.25">
      <c r="A152" s="20">
        <v>46288</v>
      </c>
      <c r="B152" s="14" t="s">
        <v>32</v>
      </c>
      <c r="C152" s="14">
        <v>1</v>
      </c>
      <c r="D152" s="21">
        <f>INDEX(Stock!$D$2:$D$13,MATCH(B152,Stock!$A$2:$A$13,0))</f>
        <v>2.2000000000000002</v>
      </c>
      <c r="E152" s="21">
        <f t="shared" si="4"/>
        <v>2.2000000000000002</v>
      </c>
    </row>
    <row r="153" spans="1:5" x14ac:dyDescent="0.25">
      <c r="A153" s="20">
        <v>46288</v>
      </c>
      <c r="B153" s="14" t="s">
        <v>39</v>
      </c>
      <c r="C153" s="14">
        <v>2</v>
      </c>
      <c r="D153" s="21">
        <f>INDEX(Stock!$D$2:$D$13,MATCH(B153,Stock!$A$2:$A$13,0))</f>
        <v>0.99</v>
      </c>
      <c r="E153" s="21">
        <f t="shared" si="4"/>
        <v>1.98</v>
      </c>
    </row>
    <row r="154" spans="1:5" x14ac:dyDescent="0.25">
      <c r="A154" s="20">
        <v>46288</v>
      </c>
      <c r="B154" s="14" t="s">
        <v>40</v>
      </c>
      <c r="C154" s="14">
        <v>6</v>
      </c>
      <c r="D154" s="21">
        <f>INDEX(Stock!$D$2:$D$13,MATCH(B154,Stock!$A$2:$A$13,0))</f>
        <v>1.5</v>
      </c>
      <c r="E154" s="21">
        <f t="shared" si="4"/>
        <v>9</v>
      </c>
    </row>
    <row r="155" spans="1:5" x14ac:dyDescent="0.25">
      <c r="A155" s="20">
        <v>46289</v>
      </c>
      <c r="B155" s="14" t="s">
        <v>33</v>
      </c>
      <c r="C155" s="14">
        <v>3</v>
      </c>
      <c r="D155" s="21">
        <f>INDEX(Stock!$D$2:$D$13,MATCH(B155,Stock!$A$2:$A$13,0))</f>
        <v>2</v>
      </c>
      <c r="E155" s="21">
        <f t="shared" si="4"/>
        <v>6</v>
      </c>
    </row>
    <row r="156" spans="1:5" x14ac:dyDescent="0.25">
      <c r="A156" s="20">
        <v>46289</v>
      </c>
      <c r="B156" s="14" t="s">
        <v>39</v>
      </c>
      <c r="C156" s="14">
        <v>4</v>
      </c>
      <c r="D156" s="21">
        <f>INDEX(Stock!$D$2:$D$13,MATCH(B156,Stock!$A$2:$A$13,0))</f>
        <v>0.99</v>
      </c>
      <c r="E156" s="21">
        <f t="shared" si="4"/>
        <v>3.96</v>
      </c>
    </row>
    <row r="157" spans="1:5" x14ac:dyDescent="0.25">
      <c r="A157" s="20">
        <v>46289</v>
      </c>
      <c r="B157" s="14" t="s">
        <v>31</v>
      </c>
      <c r="C157" s="14">
        <v>1</v>
      </c>
      <c r="D157" s="21">
        <f>INDEX(Stock!$D$2:$D$13,MATCH(B157,Stock!$A$2:$A$13,0))</f>
        <v>1.2</v>
      </c>
      <c r="E157" s="21">
        <f t="shared" si="4"/>
        <v>1.2</v>
      </c>
    </row>
    <row r="158" spans="1:5" x14ac:dyDescent="0.25">
      <c r="A158" s="20">
        <v>46290</v>
      </c>
      <c r="B158" s="14" t="s">
        <v>39</v>
      </c>
      <c r="C158" s="14">
        <v>2</v>
      </c>
      <c r="D158" s="21">
        <f>INDEX(Stock!$D$2:$D$13,MATCH(B158,Stock!$A$2:$A$13,0))</f>
        <v>0.99</v>
      </c>
      <c r="E158" s="21">
        <f t="shared" si="4"/>
        <v>1.98</v>
      </c>
    </row>
    <row r="159" spans="1:5" x14ac:dyDescent="0.25">
      <c r="A159" s="20">
        <v>46290</v>
      </c>
      <c r="B159" s="14" t="s">
        <v>40</v>
      </c>
      <c r="C159" s="14">
        <v>2</v>
      </c>
      <c r="D159" s="21">
        <f>INDEX(Stock!$D$2:$D$13,MATCH(B159,Stock!$A$2:$A$13,0))</f>
        <v>1.5</v>
      </c>
      <c r="E159" s="21">
        <f t="shared" si="4"/>
        <v>3</v>
      </c>
    </row>
    <row r="160" spans="1:5" x14ac:dyDescent="0.25">
      <c r="A160" s="20">
        <v>46291</v>
      </c>
      <c r="B160" s="14" t="s">
        <v>38</v>
      </c>
      <c r="C160" s="14">
        <v>5</v>
      </c>
      <c r="D160" s="21">
        <f>INDEX(Stock!$D$2:$D$13,MATCH(B160,Stock!$A$2:$A$13,0))</f>
        <v>2.4</v>
      </c>
      <c r="E160" s="21">
        <f t="shared" si="4"/>
        <v>12</v>
      </c>
    </row>
    <row r="161" spans="1:5" x14ac:dyDescent="0.25">
      <c r="A161" s="20">
        <v>46292</v>
      </c>
      <c r="B161" s="14" t="s">
        <v>32</v>
      </c>
      <c r="C161" s="14">
        <v>2</v>
      </c>
      <c r="D161" s="21">
        <f>INDEX(Stock!$D$2:$D$13,MATCH(B161,Stock!$A$2:$A$13,0))</f>
        <v>2.2000000000000002</v>
      </c>
      <c r="E161" s="21">
        <f t="shared" si="4"/>
        <v>4.4000000000000004</v>
      </c>
    </row>
    <row r="162" spans="1:5" x14ac:dyDescent="0.25">
      <c r="A162" s="20">
        <v>46292</v>
      </c>
      <c r="B162" s="14" t="s">
        <v>33</v>
      </c>
      <c r="C162" s="14">
        <v>1</v>
      </c>
      <c r="D162" s="21">
        <f>INDEX(Stock!$D$2:$D$13,MATCH(B162,Stock!$A$2:$A$13,0))</f>
        <v>2</v>
      </c>
      <c r="E162" s="21">
        <f t="shared" ref="E162:E193" si="5">C162*D162</f>
        <v>2</v>
      </c>
    </row>
    <row r="163" spans="1:5" x14ac:dyDescent="0.25">
      <c r="A163" s="20">
        <v>46293</v>
      </c>
      <c r="B163" s="14" t="s">
        <v>33</v>
      </c>
      <c r="C163" s="14">
        <v>3</v>
      </c>
      <c r="D163" s="21">
        <f>INDEX(Stock!$D$2:$D$13,MATCH(B163,Stock!$A$2:$A$13,0))</f>
        <v>2</v>
      </c>
      <c r="E163" s="21">
        <f t="shared" si="5"/>
        <v>6</v>
      </c>
    </row>
    <row r="164" spans="1:5" x14ac:dyDescent="0.25">
      <c r="A164" s="20">
        <v>46293</v>
      </c>
      <c r="B164" s="14" t="s">
        <v>35</v>
      </c>
      <c r="C164" s="14">
        <v>4</v>
      </c>
      <c r="D164" s="21">
        <f>INDEX(Stock!$D$2:$D$13,MATCH(B164,Stock!$A$2:$A$13,0))</f>
        <v>1.9</v>
      </c>
      <c r="E164" s="21">
        <f t="shared" si="5"/>
        <v>7.6</v>
      </c>
    </row>
    <row r="165" spans="1:5" x14ac:dyDescent="0.25">
      <c r="A165" s="20">
        <v>46293</v>
      </c>
      <c r="B165" s="14" t="s">
        <v>38</v>
      </c>
      <c r="C165" s="14">
        <v>4</v>
      </c>
      <c r="D165" s="21">
        <f>INDEX(Stock!$D$2:$D$13,MATCH(B165,Stock!$A$2:$A$13,0))</f>
        <v>2.4</v>
      </c>
      <c r="E165" s="21">
        <f t="shared" si="5"/>
        <v>9.6</v>
      </c>
    </row>
    <row r="166" spans="1:5" x14ac:dyDescent="0.25">
      <c r="A166" s="20">
        <v>46294</v>
      </c>
      <c r="B166" s="14" t="s">
        <v>35</v>
      </c>
      <c r="C166" s="14">
        <v>3</v>
      </c>
      <c r="D166" s="21">
        <f>INDEX(Stock!$D$2:$D$13,MATCH(B166,Stock!$A$2:$A$13,0))</f>
        <v>1.9</v>
      </c>
      <c r="E166" s="21">
        <f t="shared" si="5"/>
        <v>5.6999999999999993</v>
      </c>
    </row>
    <row r="167" spans="1:5" x14ac:dyDescent="0.25">
      <c r="A167" s="20">
        <v>46294</v>
      </c>
      <c r="B167" s="14" t="s">
        <v>35</v>
      </c>
      <c r="C167" s="14">
        <v>1</v>
      </c>
      <c r="D167" s="21">
        <f>INDEX(Stock!$D$2:$D$13,MATCH(B167,Stock!$A$2:$A$13,0))</f>
        <v>1.9</v>
      </c>
      <c r="E167" s="21">
        <f t="shared" si="5"/>
        <v>1.9</v>
      </c>
    </row>
    <row r="168" spans="1:5" x14ac:dyDescent="0.25">
      <c r="A168" s="20">
        <v>46295</v>
      </c>
      <c r="B168" s="14" t="s">
        <v>40</v>
      </c>
      <c r="C168" s="14">
        <v>2</v>
      </c>
      <c r="D168" s="21">
        <f>INDEX(Stock!$D$2:$D$13,MATCH(B168,Stock!$A$2:$A$13,0))</f>
        <v>1.5</v>
      </c>
      <c r="E168" s="21">
        <f t="shared" si="5"/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Stock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Munira Momoh</cp:lastModifiedBy>
  <cp:revision>1</cp:revision>
  <dcterms:created xsi:type="dcterms:W3CDTF">2026-10-03T11:16:48Z</dcterms:created>
  <dcterms:modified xsi:type="dcterms:W3CDTF">2026-10-03T16:17:16Z</dcterms:modified>
  <dc:language>en-US</dc:language>
</cp:coreProperties>
</file>